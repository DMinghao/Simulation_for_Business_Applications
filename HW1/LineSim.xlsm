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ml.chartshapes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nikand1\Dropbox\JHU Teaching\My Simulation Course\6- HW\1- Week 1\"/>
    </mc:Choice>
  </mc:AlternateContent>
  <xr:revisionPtr revIDLastSave="0" documentId="13_ncr:1_{77A55A96-F5E5-4FD6-BC7D-95AB6C7DE028}" xr6:coauthVersionLast="36" xr6:coauthVersionMax="36" xr10:uidLastSave="{00000000-0000-0000-0000-000000000000}"/>
  <bookViews>
    <workbookView xWindow="5880" yWindow="32760" windowWidth="19080" windowHeight="14835" tabRatio="713" activeTab="7" xr2:uid="{00000000-000D-0000-FFFF-FFFF00000000}"/>
  </bookViews>
  <sheets>
    <sheet name="Instructions" sheetId="1" r:id="rId1"/>
    <sheet name="Design" sheetId="2" r:id="rId2"/>
    <sheet name="Run" sheetId="3" r:id="rId3"/>
    <sheet name="Latest" sheetId="4" r:id="rId4"/>
    <sheet name="Cumulative" sheetId="5" r:id="rId5"/>
    <sheet name="Inventory" sheetId="6" r:id="rId6"/>
    <sheet name="Machines" sheetId="7" r:id="rId7"/>
    <sheet name="Graphs" sheetId="8" r:id="rId8"/>
    <sheet name="Module1" sheetId="9" state="veryHidden" r:id=""/>
    <sheet name="Controls" sheetId="10" state="hidden" r:id="rId9"/>
  </sheets>
  <functionGroups builtInGroupCount="19"/>
  <definedNames>
    <definedName name="AllTimes">Design!#REF!</definedName>
    <definedName name="Animation">Run!#REF!</definedName>
    <definedName name="Blocked">Machines!$AB$8</definedName>
    <definedName name="Buff1">Run!$C$13</definedName>
    <definedName name="BuffData">Design!$C$17:$N$18</definedName>
    <definedName name="BuffData2">Run!$C$12:$N$13</definedName>
    <definedName name="BuffNames">Design!$C$17</definedName>
    <definedName name="BuffNames2">Run!$C$12</definedName>
    <definedName name="BuffStats">Inventory!$D$8</definedName>
    <definedName name="ContRun">Controls!$B$12</definedName>
    <definedName name="currentTime">Run!$C$15</definedName>
    <definedName name="distChoice">Design!$C$7</definedName>
    <definedName name="DistChoiceTable">Controls!$B$15:$B$20</definedName>
    <definedName name="DoneRun">Controls!$B$10</definedName>
    <definedName name="DownTime">Machines!$P$8</definedName>
    <definedName name="FailureData">Design!$10:$15</definedName>
    <definedName name="failureOutput">Machines!$P:$AA</definedName>
    <definedName name="Failures">Design!#REF!</definedName>
    <definedName name="formSum">Inventory!$A$6</definedName>
    <definedName name="InvCap">Design!$C$18</definedName>
    <definedName name="InvNames2">Run!$C$12</definedName>
    <definedName name="Mach1">Run!$C$10</definedName>
    <definedName name="machData">Design!$C$6:$N$18</definedName>
    <definedName name="MachData2">Run!$C$9:$N$13</definedName>
    <definedName name="MachDone">Controls!$3:$3</definedName>
    <definedName name="MachDoneTemp">Controls!$4:$4</definedName>
    <definedName name="MachFail">Controls!$5:$5</definedName>
    <definedName name="MachFailTemp">Controls!$6:$6</definedName>
    <definedName name="Machines">Controls!$1:$6</definedName>
    <definedName name="MachNames">Design!$C$6</definedName>
    <definedName name="MachNames2">Run!$C$9</definedName>
    <definedName name="MachState">Controls!$2:$2</definedName>
    <definedName name="MachStats">Machines!$D$8</definedName>
    <definedName name="MaxInv">Inventory!$O$8</definedName>
    <definedName name="MeanFT">Design!$C$11</definedName>
    <definedName name="meanPT">Design!$C$8</definedName>
    <definedName name="meanRT">Design!$C$14</definedName>
    <definedName name="MinInv">Inventory!$Z$8</definedName>
    <definedName name="Mtotal">Design!$D$4</definedName>
    <definedName name="nRuns">Cumulative!$B$3</definedName>
    <definedName name="_xlnm.Print_Area" localSheetId="0">Instructions!$A$1:$I$148</definedName>
    <definedName name="Repetitions">Run!$F$5</definedName>
    <definedName name="RunIn">Run!$F$3</definedName>
    <definedName name="RunLength">Run!$F$4</definedName>
    <definedName name="sdFT">Design!$C$12</definedName>
    <definedName name="SDPT">Design!$C$9</definedName>
    <definedName name="SDRT">Design!$C$15</definedName>
    <definedName name="speed">Run!$F$7</definedName>
    <definedName name="Starved">Machines!$AN$8</definedName>
    <definedName name="times">Run!$C$10:$N$10</definedName>
    <definedName name="underRepair">Run!$H$7:$I$7</definedName>
  </definedNames>
  <calcPr calcId="191029"/>
</workbook>
</file>

<file path=xl/calcChain.xml><?xml version="1.0" encoding="utf-8"?>
<calcChain xmlns="http://schemas.openxmlformats.org/spreadsheetml/2006/main">
  <c r="L12" i="5" l="1"/>
  <c r="K12" i="5"/>
  <c r="J12" i="5"/>
  <c r="I12" i="5"/>
  <c r="H12" i="5"/>
  <c r="G12" i="5"/>
  <c r="F12" i="5"/>
  <c r="B3" i="5"/>
  <c r="D11" i="5" s="1"/>
  <c r="L14" i="5"/>
  <c r="K14" i="5"/>
  <c r="J14" i="5"/>
  <c r="I14" i="5"/>
  <c r="H14" i="5"/>
  <c r="G14" i="5"/>
  <c r="F14" i="5"/>
  <c r="E14" i="5"/>
  <c r="D14" i="5"/>
  <c r="C14" i="5"/>
  <c r="L13" i="5"/>
  <c r="K13" i="5"/>
  <c r="J13" i="5"/>
  <c r="I13" i="5"/>
  <c r="H13" i="5"/>
  <c r="G13" i="5"/>
  <c r="F13" i="5"/>
  <c r="L11" i="5"/>
  <c r="K11" i="5"/>
  <c r="J11" i="5"/>
  <c r="I11" i="5"/>
  <c r="H11" i="5"/>
  <c r="G11" i="5"/>
  <c r="F11" i="5"/>
  <c r="L10" i="5"/>
  <c r="K10" i="5"/>
  <c r="J10" i="5"/>
  <c r="I10" i="5"/>
  <c r="H10" i="5"/>
  <c r="G10" i="5"/>
  <c r="F10" i="5"/>
  <c r="E10" i="5"/>
  <c r="D10" i="5"/>
  <c r="C10" i="5"/>
  <c r="M8" i="5"/>
  <c r="L8" i="5"/>
  <c r="K8" i="5"/>
  <c r="J8" i="5"/>
  <c r="I8" i="5"/>
  <c r="H8" i="5"/>
  <c r="G8" i="5"/>
  <c r="M7" i="5"/>
  <c r="L7" i="5"/>
  <c r="K7" i="5"/>
  <c r="J7" i="5"/>
  <c r="I7" i="5"/>
  <c r="H7" i="5"/>
  <c r="G7" i="5"/>
  <c r="M6" i="5"/>
  <c r="L6" i="5"/>
  <c r="K6" i="5"/>
  <c r="J6" i="5"/>
  <c r="I6" i="5"/>
  <c r="H6" i="5"/>
  <c r="G6" i="5"/>
  <c r="M5" i="5"/>
  <c r="L5" i="5"/>
  <c r="K5" i="5"/>
  <c r="J5" i="5"/>
  <c r="I5" i="5"/>
  <c r="H5" i="5"/>
  <c r="G5" i="5"/>
  <c r="F5" i="5"/>
  <c r="E5" i="5"/>
  <c r="D5" i="5"/>
  <c r="C5" i="5"/>
  <c r="B14" i="5"/>
  <c r="B10" i="5"/>
  <c r="B5" i="5"/>
  <c r="G6" i="6"/>
  <c r="R6" i="6" s="1"/>
  <c r="H6" i="6"/>
  <c r="AD6" i="6" s="1"/>
  <c r="I6" i="6"/>
  <c r="AE6" i="6" s="1"/>
  <c r="J6" i="6"/>
  <c r="AF6" i="6"/>
  <c r="K6" i="6"/>
  <c r="AG6" i="6" s="1"/>
  <c r="L6" i="6"/>
  <c r="AH6" i="6" s="1"/>
  <c r="M6" i="6"/>
  <c r="X6" i="6" s="1"/>
  <c r="N6" i="6"/>
  <c r="Y6" i="6"/>
  <c r="D6" i="6"/>
  <c r="O6" i="6" s="1"/>
  <c r="E6" i="6"/>
  <c r="P6" i="6" s="1"/>
  <c r="F6" i="6"/>
  <c r="Q6" i="6" s="1"/>
  <c r="B14" i="4"/>
  <c r="L12" i="4"/>
  <c r="K12" i="4"/>
  <c r="J12" i="4"/>
  <c r="I12" i="4"/>
  <c r="H12" i="4"/>
  <c r="G12" i="4"/>
  <c r="F12" i="4"/>
  <c r="L14" i="4"/>
  <c r="K14" i="4"/>
  <c r="J14" i="4"/>
  <c r="I14" i="4"/>
  <c r="H14" i="4"/>
  <c r="G14" i="4"/>
  <c r="F14" i="4"/>
  <c r="E14" i="4"/>
  <c r="D14" i="4"/>
  <c r="C14" i="4"/>
  <c r="L13" i="4"/>
  <c r="K13" i="4"/>
  <c r="J13" i="4"/>
  <c r="I13" i="4"/>
  <c r="H13" i="4"/>
  <c r="G13" i="4"/>
  <c r="F13" i="4"/>
  <c r="L11" i="4"/>
  <c r="K11" i="4"/>
  <c r="J11" i="4"/>
  <c r="I11" i="4"/>
  <c r="H11" i="4"/>
  <c r="G11" i="4"/>
  <c r="F11" i="4"/>
  <c r="L10" i="4"/>
  <c r="K10" i="4"/>
  <c r="J10" i="4"/>
  <c r="I10" i="4"/>
  <c r="H10" i="4"/>
  <c r="G10" i="4"/>
  <c r="F10" i="4"/>
  <c r="E10" i="4"/>
  <c r="D10" i="4"/>
  <c r="C10" i="4"/>
  <c r="M8" i="4"/>
  <c r="L8" i="4"/>
  <c r="K8" i="4"/>
  <c r="J8" i="4"/>
  <c r="I8" i="4"/>
  <c r="H8" i="4"/>
  <c r="G8" i="4"/>
  <c r="M7" i="4"/>
  <c r="L7" i="4"/>
  <c r="K7" i="4"/>
  <c r="J7" i="4"/>
  <c r="I7" i="4"/>
  <c r="H7" i="4"/>
  <c r="G7" i="4"/>
  <c r="M6" i="4"/>
  <c r="L6" i="4"/>
  <c r="K6" i="4"/>
  <c r="J6" i="4"/>
  <c r="I6" i="4"/>
  <c r="H6" i="4"/>
  <c r="G6" i="4"/>
  <c r="M5" i="4"/>
  <c r="L5" i="4"/>
  <c r="K5" i="4"/>
  <c r="J5" i="4"/>
  <c r="I5" i="4"/>
  <c r="H5" i="4"/>
  <c r="G5" i="4"/>
  <c r="F5" i="4"/>
  <c r="E5" i="4"/>
  <c r="D5" i="4"/>
  <c r="C5" i="4"/>
  <c r="B10" i="4"/>
  <c r="B5" i="4"/>
  <c r="E6" i="7"/>
  <c r="AO6" i="7" s="1"/>
  <c r="F6" i="7"/>
  <c r="R6" i="7" s="1"/>
  <c r="G6" i="7"/>
  <c r="AE6" i="7" s="1"/>
  <c r="H6" i="7"/>
  <c r="AF6" i="7"/>
  <c r="I6" i="7"/>
  <c r="AG6" i="7" s="1"/>
  <c r="J6" i="7"/>
  <c r="AH6" i="7" s="1"/>
  <c r="K6" i="7"/>
  <c r="AU6" i="7" s="1"/>
  <c r="L6" i="7"/>
  <c r="X6" i="7"/>
  <c r="M6" i="7"/>
  <c r="Y6" i="7" s="1"/>
  <c r="N6" i="7"/>
  <c r="AX6" i="7" s="1"/>
  <c r="O6" i="7"/>
  <c r="AY6" i="7" s="1"/>
  <c r="D6" i="7"/>
  <c r="AN6" i="7" s="1"/>
  <c r="AP6" i="7"/>
  <c r="AQ6" i="7"/>
  <c r="AV6" i="7"/>
  <c r="AD6" i="7"/>
  <c r="AJ6" i="7"/>
  <c r="AB6" i="7"/>
  <c r="S6" i="7"/>
  <c r="T6" i="7"/>
  <c r="W6" i="7"/>
  <c r="C16" i="3"/>
  <c r="AJ6" i="6"/>
  <c r="AR6" i="7"/>
  <c r="E11" i="4"/>
  <c r="E13" i="4"/>
  <c r="E12" i="4"/>
  <c r="F6" i="5"/>
  <c r="F7" i="5"/>
  <c r="F8" i="5"/>
  <c r="E11" i="5"/>
  <c r="E13" i="5"/>
  <c r="F6" i="4"/>
  <c r="F7" i="4"/>
  <c r="F8" i="4"/>
  <c r="E12" i="5"/>
  <c r="AB6" i="6"/>
  <c r="AC6" i="6"/>
  <c r="AM6" i="7"/>
  <c r="AA6" i="7"/>
  <c r="AI6" i="7"/>
  <c r="V6" i="6"/>
  <c r="U6" i="6"/>
  <c r="T6" i="6"/>
  <c r="AI6" i="6"/>
  <c r="U6" i="7"/>
  <c r="AT6" i="7" l="1"/>
  <c r="Z6" i="6"/>
  <c r="AW6" i="7"/>
  <c r="AS6" i="7"/>
  <c r="AC6" i="7"/>
  <c r="AL6" i="7"/>
  <c r="S6" i="6"/>
  <c r="Z6" i="7"/>
  <c r="V6" i="7"/>
  <c r="AA6" i="6"/>
  <c r="W6" i="6"/>
  <c r="B12" i="5"/>
  <c r="C12" i="4"/>
  <c r="E8" i="5"/>
  <c r="B8" i="5"/>
  <c r="C13" i="5"/>
  <c r="D13" i="5"/>
  <c r="C8" i="4"/>
  <c r="C7" i="4"/>
  <c r="AK6" i="7"/>
  <c r="E6" i="5"/>
  <c r="E6" i="4"/>
  <c r="D13" i="4"/>
  <c r="C8" i="5"/>
  <c r="B7" i="5"/>
  <c r="D12" i="4"/>
  <c r="B7" i="4"/>
  <c r="D8" i="5"/>
  <c r="B13" i="4"/>
  <c r="D7" i="4"/>
  <c r="D6" i="5"/>
  <c r="C12" i="5"/>
  <c r="B13" i="5"/>
  <c r="D6" i="4"/>
  <c r="E7" i="4"/>
  <c r="B6" i="4"/>
  <c r="E7" i="5"/>
  <c r="B12" i="4"/>
  <c r="B8" i="4"/>
  <c r="D7" i="5"/>
  <c r="D12" i="5"/>
  <c r="C7" i="5"/>
  <c r="C13" i="4"/>
  <c r="C11" i="5"/>
  <c r="C6" i="5"/>
  <c r="P6" i="7"/>
  <c r="Q6" i="7"/>
  <c r="B11" i="4"/>
  <c r="B6" i="5"/>
  <c r="B3" i="4"/>
  <c r="A1" i="4" s="1"/>
  <c r="D11" i="4"/>
  <c r="B11" i="5"/>
  <c r="E8" i="4"/>
  <c r="C11" i="4"/>
  <c r="C6" i="4"/>
  <c r="D8" i="4"/>
  <c r="B18" i="5" l="1"/>
  <c r="B18" i="4"/>
  <c r="B17" i="5"/>
  <c r="B17" i="4"/>
  <c r="B19" i="4" l="1"/>
  <c r="B19" i="5"/>
</calcChain>
</file>

<file path=xl/sharedStrings.xml><?xml version="1.0" encoding="utf-8"?>
<sst xmlns="http://schemas.openxmlformats.org/spreadsheetml/2006/main" count="195" uniqueCount="158">
  <si>
    <t>Serial Line Simulation: Instructions</t>
  </si>
  <si>
    <t>Simulation of a Serial Production Line</t>
  </si>
  <si>
    <t>Johnson Graduate School of Management</t>
  </si>
  <si>
    <t>Cornell University, Ithaca NY 14853</t>
  </si>
  <si>
    <r>
      <t xml:space="preserve"> </t>
    </r>
    <r>
      <rPr>
        <sz val="10"/>
        <color indexed="12"/>
        <rFont val="Arial"/>
        <family val="2"/>
      </rPr>
      <t>SERIAL LINE:</t>
    </r>
    <r>
      <rPr>
        <sz val="10"/>
        <color indexed="8"/>
        <rFont val="Arial"/>
        <family val="2"/>
      </rPr>
      <t xml:space="preserve"> The model, on worksheet </t>
    </r>
    <r>
      <rPr>
        <sz val="10"/>
        <color indexed="12"/>
        <rFont val="Arial"/>
        <family val="2"/>
      </rPr>
      <t>Design</t>
    </r>
    <r>
      <rPr>
        <sz val="10"/>
        <color indexed="8"/>
        <rFont val="Arial"/>
        <family val="2"/>
      </rPr>
      <t xml:space="preserve">, is for a </t>
    </r>
    <r>
      <rPr>
        <sz val="10"/>
        <color indexed="12"/>
        <rFont val="Arial"/>
        <family val="2"/>
      </rPr>
      <t>Serial Line</t>
    </r>
    <r>
      <rPr>
        <sz val="10"/>
        <color indexed="8"/>
        <rFont val="Arial"/>
        <family val="2"/>
      </rPr>
      <t>.  That is,</t>
    </r>
  </si>
  <si>
    <t xml:space="preserve"> the output for one machine is the input for the next.   For example, the first machine</t>
  </si>
  <si>
    <t xml:space="preserve"> deposits its output in a storage area, where it becomes the input supply for the second machine.  </t>
  </si>
  <si>
    <t xml:space="preserve"> This is called "serial layout", although the factory itself may not be in a straight line. </t>
  </si>
  <si>
    <t xml:space="preserve"> The first machine has unlimited input (not shown).</t>
  </si>
  <si>
    <r>
      <t xml:space="preserve"> SAVING YOUR MODEL:</t>
    </r>
    <r>
      <rPr>
        <sz val="10"/>
        <rFont val="Arial"/>
        <family val="2"/>
      </rPr>
      <t xml:space="preserve">  use the "Save As" command and store the entire workbook</t>
    </r>
  </si>
  <si>
    <t xml:space="preserve"> under any convenient name.</t>
  </si>
  <si>
    <r>
      <t xml:space="preserve"> </t>
    </r>
    <r>
      <rPr>
        <sz val="10"/>
        <color indexed="12"/>
        <rFont val="Arial"/>
        <family val="2"/>
      </rPr>
      <t xml:space="preserve">SIMULATION RESULTS </t>
    </r>
    <r>
      <rPr>
        <sz val="10"/>
        <rFont val="Arial"/>
        <family val="2"/>
      </rPr>
      <t xml:space="preserve">are stored on worksheets </t>
    </r>
    <r>
      <rPr>
        <sz val="10"/>
        <color indexed="12"/>
        <rFont val="Arial"/>
        <family val="2"/>
      </rPr>
      <t>Inventory,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Machines,</t>
    </r>
    <r>
      <rPr>
        <sz val="10"/>
        <rFont val="Arial"/>
        <family val="2"/>
      </rPr>
      <t xml:space="preserve"> and </t>
    </r>
    <r>
      <rPr>
        <sz val="10"/>
        <color indexed="12"/>
        <rFont val="Arial"/>
        <family val="2"/>
      </rPr>
      <t>Graphs</t>
    </r>
    <r>
      <rPr>
        <sz val="10"/>
        <rFont val="Arial"/>
        <family val="2"/>
      </rPr>
      <t>.</t>
    </r>
  </si>
  <si>
    <t>Don't try to create a new model on a different worksheet.  Only one model per Workbook.</t>
  </si>
  <si>
    <r>
      <t xml:space="preserve"> </t>
    </r>
    <r>
      <rPr>
        <b/>
        <sz val="12"/>
        <color indexed="12"/>
        <rFont val="Arial"/>
        <family val="2"/>
      </rPr>
      <t>USING LINESIM</t>
    </r>
    <r>
      <rPr>
        <sz val="10"/>
        <rFont val="Arial"/>
        <family val="2"/>
      </rPr>
      <t>:  The remaining instructions are in two sections</t>
    </r>
  </si>
  <si>
    <r>
      <t xml:space="preserve">   </t>
    </r>
    <r>
      <rPr>
        <sz val="10"/>
        <color indexed="12"/>
        <rFont val="Arial"/>
        <family val="2"/>
      </rPr>
      <t>CONTROLLING THE SIMULATION: The RUN Worksheet</t>
    </r>
  </si>
  <si>
    <t xml:space="preserve">        What to do before running a simulation.</t>
  </si>
  <si>
    <r>
      <t xml:space="preserve">   </t>
    </r>
    <r>
      <rPr>
        <sz val="10"/>
        <color indexed="12"/>
        <rFont val="Arial"/>
        <family val="2"/>
      </rPr>
      <t>MODELING: The Design Worksheet</t>
    </r>
    <r>
      <rPr>
        <sz val="10"/>
        <rFont val="Arial"/>
        <family val="2"/>
      </rPr>
      <t>.</t>
    </r>
  </si>
  <si>
    <t xml:space="preserve">       How to construct or change a model.</t>
  </si>
  <si>
    <t xml:space="preserve"> CONTROLLING THE SIMULATION: The Run Worksheet.</t>
  </si>
  <si>
    <r>
      <t xml:space="preserve"> "</t>
    </r>
    <r>
      <rPr>
        <sz val="10"/>
        <color indexed="12"/>
        <rFont val="Arial"/>
        <family val="2"/>
      </rPr>
      <t>Run-in Time</t>
    </r>
    <r>
      <rPr>
        <sz val="10"/>
        <rFont val="Arial"/>
        <family val="2"/>
      </rPr>
      <t>": Enter the amount of time you want to simulate during the Run-in period</t>
    </r>
  </si>
  <si>
    <t xml:space="preserve"> (often used to allow the system to move away from its initial state).</t>
  </si>
  <si>
    <r>
      <t xml:space="preserve"> "</t>
    </r>
    <r>
      <rPr>
        <sz val="10"/>
        <color indexed="12"/>
        <rFont val="Arial"/>
        <family val="2"/>
      </rPr>
      <t>Run Length</t>
    </r>
    <r>
      <rPr>
        <sz val="10"/>
        <rFont val="Arial"/>
        <family val="2"/>
      </rPr>
      <t>":  Enter the amount of time you want to simulate during each Run period.</t>
    </r>
  </si>
  <si>
    <r>
      <t xml:space="preserve"> "</t>
    </r>
    <r>
      <rPr>
        <sz val="10"/>
        <color indexed="12"/>
        <rFont val="Arial"/>
        <family val="2"/>
      </rPr>
      <t>Repetitions</t>
    </r>
    <r>
      <rPr>
        <sz val="10"/>
        <rFont val="Arial"/>
        <family val="2"/>
      </rPr>
      <t>": Enter how many simulation runs you want after the run-in.</t>
    </r>
  </si>
  <si>
    <r>
      <t xml:space="preserve"> "</t>
    </r>
    <r>
      <rPr>
        <sz val="10"/>
        <color indexed="12"/>
        <rFont val="Arial"/>
        <family val="2"/>
      </rPr>
      <t>Simulation Speed</t>
    </r>
    <r>
      <rPr>
        <sz val="10"/>
        <rFont val="Arial"/>
        <family val="2"/>
      </rPr>
      <t>": anything less than 100 will slow down the simulation.</t>
    </r>
  </si>
  <si>
    <t xml:space="preserve">  Use it if the simulation runs too fast to see what is happening.</t>
  </si>
  <si>
    <r>
      <t xml:space="preserve"> "</t>
    </r>
    <r>
      <rPr>
        <sz val="10"/>
        <color indexed="12"/>
        <rFont val="Arial"/>
        <family val="2"/>
      </rPr>
      <t>Animate</t>
    </r>
    <r>
      <rPr>
        <sz val="10"/>
        <rFont val="Arial"/>
        <family val="2"/>
      </rPr>
      <t>": allows you to watch the progress of the simulation.</t>
    </r>
  </si>
  <si>
    <r>
      <t xml:space="preserve"> "</t>
    </r>
    <r>
      <rPr>
        <sz val="10"/>
        <color indexed="12"/>
        <rFont val="Arial"/>
        <family val="2"/>
      </rPr>
      <t>Start New Simulation</t>
    </r>
    <r>
      <rPr>
        <sz val="10"/>
        <rFont val="Arial"/>
        <family val="2"/>
      </rPr>
      <t>": clears all data, executes a runin of the specified length, and then</t>
    </r>
  </si>
  <si>
    <t xml:space="preserve"> simulates using the run length and the number of repetitions you have specified.</t>
  </si>
  <si>
    <r>
      <t xml:space="preserve"> "</t>
    </r>
    <r>
      <rPr>
        <sz val="10"/>
        <color indexed="12"/>
        <rFont val="Arial"/>
        <family val="2"/>
      </rPr>
      <t>More Repetitions of This Simulation</t>
    </r>
    <r>
      <rPr>
        <sz val="10"/>
        <rFont val="Arial"/>
        <family val="2"/>
      </rPr>
      <t>": adds another set of repetitions to the same data set.</t>
    </r>
  </si>
  <si>
    <t xml:space="preserve"> MODELING: The Design Worksheet</t>
  </si>
  <si>
    <r>
      <t xml:space="preserve"> "</t>
    </r>
    <r>
      <rPr>
        <sz val="10"/>
        <color indexed="12"/>
        <rFont val="Arial"/>
        <family val="2"/>
      </rPr>
      <t>Number of Machines</t>
    </r>
    <r>
      <rPr>
        <sz val="10"/>
        <rFont val="Arial"/>
        <family val="2"/>
      </rPr>
      <t>": automatically increases or decreases the</t>
    </r>
  </si>
  <si>
    <t xml:space="preserve"> size of the model.</t>
  </si>
  <si>
    <t xml:space="preserve"> </t>
  </si>
  <si>
    <r>
      <t xml:space="preserve"> "</t>
    </r>
    <r>
      <rPr>
        <sz val="10"/>
        <color indexed="12"/>
        <rFont val="Arial"/>
        <family val="2"/>
      </rPr>
      <t>Make Machines Like #1</t>
    </r>
    <r>
      <rPr>
        <sz val="10"/>
        <rFont val="Arial"/>
        <family val="2"/>
      </rPr>
      <t>": makes all machines identical to the first one.</t>
    </r>
  </si>
  <si>
    <r>
      <t xml:space="preserve"> "</t>
    </r>
    <r>
      <rPr>
        <sz val="10"/>
        <color indexed="12"/>
        <rFont val="Arial"/>
        <family val="2"/>
      </rPr>
      <t>Make Storage Areas Like #1</t>
    </r>
    <r>
      <rPr>
        <sz val="10"/>
        <rFont val="Arial"/>
        <family val="2"/>
      </rPr>
      <t>": makes all storage areas identical to the first one.</t>
    </r>
  </si>
  <si>
    <r>
      <t xml:space="preserve"> "</t>
    </r>
    <r>
      <rPr>
        <sz val="10"/>
        <color indexed="12"/>
        <rFont val="Arial"/>
        <family val="2"/>
      </rPr>
      <t>Machines Never Fail</t>
    </r>
    <r>
      <rPr>
        <sz val="10"/>
        <rFont val="Arial"/>
        <family val="2"/>
      </rPr>
      <t>": makes all machines perfectly reliable.  "UnCheck this box to</t>
    </r>
  </si>
  <si>
    <t xml:space="preserve"> see and edit the machine failure data (time between failure and repair time).</t>
  </si>
  <si>
    <t xml:space="preserve"> STORAGE AREAS</t>
  </si>
  <si>
    <r>
      <t xml:space="preserve"> </t>
    </r>
    <r>
      <rPr>
        <sz val="10"/>
        <color indexed="12"/>
        <rFont val="Arial"/>
        <family val="2"/>
      </rPr>
      <t>STORAGE AREAS</t>
    </r>
    <r>
      <rPr>
        <sz val="10"/>
        <rFont val="Arial"/>
        <family val="2"/>
      </rPr>
      <t xml:space="preserve"> have 1 property: </t>
    </r>
    <r>
      <rPr>
        <sz val="10"/>
        <color indexed="12"/>
        <rFont val="Arial"/>
        <family val="2"/>
      </rPr>
      <t>Capacity.</t>
    </r>
    <r>
      <rPr>
        <sz val="10"/>
        <rFont val="Arial"/>
        <family val="2"/>
      </rPr>
      <t xml:space="preserve"> Type the desired capacities into the yellow boxes.</t>
    </r>
  </si>
  <si>
    <t xml:space="preserve"> You cannot change the names of the storage areas, since they are tied to the machine names.</t>
  </si>
  <si>
    <t xml:space="preserve"> MACHINES</t>
  </si>
  <si>
    <t xml:space="preserve"> Each machine can perform only one process, so explicit modeling of multi-product production is</t>
  </si>
  <si>
    <t xml:space="preserve"> impossible. Also, you cannot change the fact that each machine's output is the input for </t>
  </si>
  <si>
    <t xml:space="preserve"> the next machine.</t>
  </si>
  <si>
    <r>
      <t xml:space="preserve"> </t>
    </r>
    <r>
      <rPr>
        <sz val="10"/>
        <color indexed="12"/>
        <rFont val="Arial"/>
        <family val="2"/>
      </rPr>
      <t>NAME:</t>
    </r>
    <r>
      <rPr>
        <sz val="10"/>
        <rFont val="Arial"/>
        <family val="2"/>
      </rPr>
      <t xml:space="preserve"> You may type in any name.</t>
    </r>
  </si>
  <si>
    <r>
      <t xml:space="preserve"> </t>
    </r>
    <r>
      <rPr>
        <sz val="10"/>
        <color indexed="12"/>
        <rFont val="Arial"/>
        <family val="2"/>
      </rPr>
      <t>DISTRIBUTION OF PROCESSING TIMES</t>
    </r>
    <r>
      <rPr>
        <sz val="10"/>
        <rFont val="Arial"/>
        <family val="2"/>
      </rPr>
      <t>: You may enter the mean and standard deviation</t>
    </r>
  </si>
  <si>
    <t xml:space="preserve"> in the appropriate boxes.   The shape of the distribution may be changed by choosing from</t>
  </si>
  <si>
    <t xml:space="preserve"> several options.  Examples of each option are given in the figures below, showing the mean,</t>
  </si>
  <si>
    <t xml:space="preserve"> standard deviation, and the third and fourth standardized central moments.</t>
  </si>
  <si>
    <t>Uniform Distribution:</t>
  </si>
  <si>
    <t>Right Skew (Shifted Erlang-3) Distribution:</t>
  </si>
  <si>
    <t>Normal Distribution:</t>
  </si>
  <si>
    <t>Shifted Exponential Distribution:</t>
  </si>
  <si>
    <t>Triangular Distribution:</t>
  </si>
  <si>
    <t xml:space="preserve">   Technical notes:</t>
  </si>
  <si>
    <r>
      <t xml:space="preserve">       </t>
    </r>
    <r>
      <rPr>
        <sz val="10"/>
        <color indexed="10"/>
        <rFont val="Arial"/>
        <family val="2"/>
      </rPr>
      <t>"Shifted"</t>
    </r>
    <r>
      <rPr>
        <sz val="10"/>
        <rFont val="Arial"/>
        <family val="2"/>
      </rPr>
      <t xml:space="preserve"> means adding a constant.  Hence, the shifted exponential is just like the</t>
    </r>
  </si>
  <si>
    <t xml:space="preserve">        exponential, except that its minimum value is greater than zero.</t>
  </si>
  <si>
    <r>
      <t xml:space="preserve">       </t>
    </r>
    <r>
      <rPr>
        <sz val="10"/>
        <color indexed="10"/>
        <rFont val="Arial"/>
        <family val="2"/>
      </rPr>
      <t>"Uniform"</t>
    </r>
    <r>
      <rPr>
        <sz val="10"/>
        <rFont val="Arial"/>
        <family val="2"/>
      </rPr>
      <t xml:space="preserve"> distribution has fixed upper limit, b, and fixed lower limit, a.  The mean</t>
    </r>
  </si>
  <si>
    <t xml:space="preserve">       is (a + b)/2 and the standard deviation is (b - a)/sqrt(12) = (b - a)/3.464102.</t>
  </si>
  <si>
    <r>
      <t xml:space="preserve">       Going the other way, the two limits are a = </t>
    </r>
    <r>
      <rPr>
        <sz val="10"/>
        <rFont val="Symbol"/>
        <family val="1"/>
      </rPr>
      <t>m - s</t>
    </r>
    <r>
      <rPr>
        <sz val="10"/>
        <rFont val="Arial"/>
        <family val="2"/>
      </rPr>
      <t xml:space="preserve"> sqrt(12) and b = </t>
    </r>
    <r>
      <rPr>
        <sz val="10"/>
        <rFont val="Symbol"/>
        <family val="1"/>
      </rPr>
      <t>m + s</t>
    </r>
    <r>
      <rPr>
        <sz val="10"/>
        <rFont val="Arial"/>
        <family val="2"/>
      </rPr>
      <t xml:space="preserve"> sqrt(12).</t>
    </r>
  </si>
  <si>
    <r>
      <t xml:space="preserve">       </t>
    </r>
    <r>
      <rPr>
        <sz val="10"/>
        <color indexed="10"/>
        <rFont val="Arial"/>
        <family val="2"/>
      </rPr>
      <t>"Triangular"</t>
    </r>
    <r>
      <rPr>
        <sz val="10"/>
        <rFont val="Arial"/>
        <family val="2"/>
      </rPr>
      <t xml:space="preserve"> distribution has fixed upper limit, b, and fixed lower limit, a.  The mean</t>
    </r>
  </si>
  <si>
    <t xml:space="preserve">       is (a + b)/2 and the standard deviation is (a - b)/sqrt(24) = (a - b)/4.898979.</t>
  </si>
  <si>
    <r>
      <t xml:space="preserve">       Going the other way, the two limits are a = </t>
    </r>
    <r>
      <rPr>
        <sz val="10"/>
        <rFont val="Symbol"/>
        <family val="1"/>
      </rPr>
      <t>m - s</t>
    </r>
    <r>
      <rPr>
        <sz val="10"/>
        <rFont val="Arial"/>
        <family val="2"/>
      </rPr>
      <t xml:space="preserve"> sqrt(24) and b = </t>
    </r>
    <r>
      <rPr>
        <sz val="10"/>
        <rFont val="Symbol"/>
        <family val="1"/>
      </rPr>
      <t>m + s</t>
    </r>
    <r>
      <rPr>
        <sz val="10"/>
        <rFont val="Arial"/>
        <family val="2"/>
      </rPr>
      <t xml:space="preserve"> sqrt(24).</t>
    </r>
  </si>
  <si>
    <t xml:space="preserve">       All of these distributions are "protected" against negative values, since negative time</t>
  </si>
  <si>
    <t xml:space="preserve">       makes no sense.  This puts an upper limit on the standard deviation. </t>
  </si>
  <si>
    <t xml:space="preserve">       The Design spreadsheet automatically changes a standard deviation that is too large.</t>
  </si>
  <si>
    <t xml:space="preserve">       The limits for the coefficient of variation (standard deviation divided by mean) are:</t>
  </si>
  <si>
    <t xml:space="preserve">       0.57735 for Uniform, 0.57735 for Right Skew (Shifted Erlang-3), 3.1 for Normal,</t>
  </si>
  <si>
    <t xml:space="preserve">       1.0 for Shifted Exponential, and 0.40825 for Triangular.</t>
  </si>
  <si>
    <t xml:space="preserve"> The following are visible only if "Machines Never Fail" is NOT checked.</t>
  </si>
  <si>
    <r>
      <t xml:space="preserve"> DISTRIBUTION OF TIMES BETWEEN FAILURES</t>
    </r>
    <r>
      <rPr>
        <sz val="10"/>
        <rFont val="Arial"/>
        <family val="2"/>
      </rPr>
      <t>:  You may enter the mean and</t>
    </r>
  </si>
  <si>
    <t xml:space="preserve"> standard deviation directly in the appropriate boxes. There is no choice </t>
  </si>
  <si>
    <t xml:space="preserve"> of distribution; the shifted Exponential is assumed (see notes below). You</t>
  </si>
  <si>
    <t xml:space="preserve"> may simulate a constant time between failures by entering 0 for the standard deviation. </t>
  </si>
  <si>
    <r>
      <t xml:space="preserve"> </t>
    </r>
    <r>
      <rPr>
        <sz val="10"/>
        <color indexed="12"/>
        <rFont val="Arial"/>
        <family val="2"/>
      </rPr>
      <t>DISTRIBUTION OF REPAIR TIMES</t>
    </r>
    <r>
      <rPr>
        <sz val="10"/>
        <rFont val="Arial"/>
        <family val="2"/>
      </rPr>
      <t>: Same instructions as TIMES BETWEEN FAILURES.</t>
    </r>
  </si>
  <si>
    <t>Serial Line Simulation: Design</t>
  </si>
  <si>
    <t>Machines Never Fail:</t>
  </si>
  <si>
    <t>Number of Machines =</t>
  </si>
  <si>
    <t>Machine Processing Time Distributions:</t>
  </si>
  <si>
    <t>Name</t>
  </si>
  <si>
    <t>Type</t>
  </si>
  <si>
    <t>m</t>
  </si>
  <si>
    <t>s</t>
  </si>
  <si>
    <r>
      <t xml:space="preserve">      Machine Running Time between failures: </t>
    </r>
    <r>
      <rPr>
        <i/>
        <sz val="10"/>
        <color indexed="12"/>
        <rFont val="Arial"/>
        <family val="2"/>
      </rPr>
      <t>(shifted exponential distribution)</t>
    </r>
  </si>
  <si>
    <r>
      <t xml:space="preserve">      Machine Repair Times:</t>
    </r>
    <r>
      <rPr>
        <i/>
        <sz val="10"/>
        <color indexed="12"/>
        <rFont val="Arial"/>
        <family val="2"/>
      </rPr>
      <t xml:space="preserve"> (shifted exponential distribution)</t>
    </r>
  </si>
  <si>
    <t>Output Storage Area for Each Machine</t>
  </si>
  <si>
    <t>Capacity</t>
  </si>
  <si>
    <t xml:space="preserve">    Serial Line Simulation: Run</t>
  </si>
  <si>
    <t>Run-In Time:</t>
  </si>
  <si>
    <t>Machine Status</t>
  </si>
  <si>
    <t>Run Length:</t>
  </si>
  <si>
    <t>running</t>
  </si>
  <si>
    <t>Repetitions:</t>
  </si>
  <si>
    <t>starved</t>
  </si>
  <si>
    <t>Animation:</t>
  </si>
  <si>
    <t>blocked</t>
  </si>
  <si>
    <t>Simulation Speed:</t>
  </si>
  <si>
    <t>Next event:</t>
  </si>
  <si>
    <t>Output</t>
  </si>
  <si>
    <t>Inventory</t>
  </si>
  <si>
    <t>CurrentTime:</t>
  </si>
  <si>
    <t>Run Number:</t>
  </si>
  <si>
    <t>Number of Runs:</t>
  </si>
  <si>
    <t>Utilization</t>
  </si>
  <si>
    <t>% Starved</t>
  </si>
  <si>
    <t>% Blocked</t>
  </si>
  <si>
    <t>Average Inventory</t>
  </si>
  <si>
    <t>Minimum</t>
  </si>
  <si>
    <t>Maximum</t>
  </si>
  <si>
    <t>System Inventory:</t>
  </si>
  <si>
    <t>Unproductive</t>
  </si>
  <si>
    <t>Productive</t>
  </si>
  <si>
    <t>Total</t>
  </si>
  <si>
    <t>Summary of Statistics from All Runs (after the Run-in):</t>
  </si>
  <si>
    <t>Avg</t>
  </si>
  <si>
    <t>Max</t>
  </si>
  <si>
    <t>Min</t>
  </si>
  <si>
    <t>Statistics</t>
  </si>
  <si>
    <t>Average Inventory in Storage, and Average Total in System (more statistics ==&gt;)</t>
  </si>
  <si>
    <t xml:space="preserve">Average </t>
  </si>
  <si>
    <t xml:space="preserve">  Maximum Inventory (&lt;== more statistics ==&gt;)</t>
  </si>
  <si>
    <t xml:space="preserve">Max </t>
  </si>
  <si>
    <t xml:space="preserve">  Minimum Inventory (&lt;== more statistics)</t>
  </si>
  <si>
    <t>Machine</t>
  </si>
  <si>
    <t xml:space="preserve"> Output and Average Machine Utilization (fraction of the time actually running).  More results ==&gt;</t>
  </si>
  <si>
    <t xml:space="preserve">Utilization </t>
  </si>
  <si>
    <t>Average Down Time (fraction of the time spent in repair).  &lt;== More Results ==&gt;</t>
  </si>
  <si>
    <t xml:space="preserve">DownTime </t>
  </si>
  <si>
    <t>Average Blocked Time (fraction of time idle due to full output buffer).  &lt;== More Results</t>
  </si>
  <si>
    <t xml:space="preserve">Blocked </t>
  </si>
  <si>
    <t xml:space="preserve"> Average Starved Time (fraction of the time idle due to no input available)</t>
  </si>
  <si>
    <t>Starved</t>
  </si>
  <si>
    <t>Time</t>
  </si>
  <si>
    <t>Machines</t>
  </si>
  <si>
    <t>MachState</t>
  </si>
  <si>
    <t>MachDone</t>
  </si>
  <si>
    <t>MachDoneTemp</t>
  </si>
  <si>
    <t>MachFail</t>
  </si>
  <si>
    <t>MachFailTemp</t>
  </si>
  <si>
    <t>Runs done field (DoneRun)</t>
  </si>
  <si>
    <t>Continue Run Field (ContRun)</t>
  </si>
  <si>
    <t>Constant</t>
  </si>
  <si>
    <t>Distribution Choices</t>
  </si>
  <si>
    <t>Uniform</t>
  </si>
  <si>
    <t>RightSkew</t>
  </si>
  <si>
    <t>Normal</t>
  </si>
  <si>
    <t>Shifted Exp.</t>
  </si>
  <si>
    <t>Triangular</t>
  </si>
  <si>
    <t>Station 1</t>
  </si>
  <si>
    <t>Station 2</t>
  </si>
  <si>
    <t>M4</t>
  </si>
  <si>
    <t>Station 1's</t>
  </si>
  <si>
    <t>Station 2's</t>
  </si>
  <si>
    <t>M3</t>
  </si>
  <si>
    <t>M3's</t>
  </si>
  <si>
    <t>LineSim</t>
  </si>
  <si>
    <t xml:space="preserve"> to use it in any manner, and change it as you see fit. </t>
  </si>
  <si>
    <t xml:space="preserve"> This is a very simple process simulator, intended for teaching purposes.  You are welcome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</si>
</sst>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??0.0%"/>
    <numFmt numFmtId="166" formatCode="??0.00%"/>
  </numFmts>
  <fonts count="3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2"/>
      <color indexed="12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sz val="12"/>
      <color indexed="8"/>
      <name val="Arial"/>
      <family val="2"/>
    </font>
    <font>
      <b/>
      <sz val="14"/>
      <color indexed="12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12"/>
      <name val="Arial"/>
      <family val="2"/>
    </font>
    <font>
      <b/>
      <sz val="12"/>
      <color indexed="8"/>
      <name val="Symbol"/>
      <family val="1"/>
      <charset val="2"/>
    </font>
    <font>
      <sz val="12"/>
      <color indexed="10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  <font>
      <sz val="11"/>
      <color indexed="10"/>
      <name val="Arial"/>
      <family val="2"/>
    </font>
    <font>
      <i/>
      <sz val="11"/>
      <name val="Arial"/>
      <family val="2"/>
    </font>
    <font>
      <sz val="14"/>
      <name val="Arial"/>
      <family val="2"/>
    </font>
    <font>
      <b/>
      <sz val="14"/>
      <color indexed="12"/>
      <name val="Arial"/>
      <family val="2"/>
    </font>
    <font>
      <sz val="14"/>
      <color indexed="12"/>
      <name val="Arial"/>
      <family val="2"/>
    </font>
    <font>
      <b/>
      <i/>
      <sz val="11"/>
      <color indexed="12"/>
      <name val="Arial"/>
      <family val="2"/>
    </font>
    <font>
      <i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1"/>
      <color indexed="12"/>
      <name val="Arial"/>
      <family val="2"/>
    </font>
    <font>
      <i/>
      <sz val="10"/>
      <color indexed="12"/>
      <name val="Arial"/>
      <family val="2"/>
    </font>
    <font>
      <sz val="10"/>
      <name val="Symbol"/>
      <family val="1"/>
    </font>
    <font>
      <b/>
      <sz val="10"/>
      <color indexed="12"/>
      <name val="Arial"/>
      <family val="2"/>
    </font>
    <font>
      <sz val="1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FF0000"/>
      <name val="Arial"/>
      <family val="2"/>
    </font>
    <font>
      <b/>
      <sz val="12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13">
    <xf numFmtId="0" fontId="0" fillId="0" borderId="0" xfId="0"/>
    <xf numFmtId="0" fontId="0" fillId="0" borderId="0" xfId="0" applyAlignment="1">
      <alignment horizontal="right"/>
    </xf>
    <xf numFmtId="0" fontId="0" fillId="0" borderId="0" xfId="0" applyNumberFormat="1"/>
    <xf numFmtId="0" fontId="5" fillId="0" borderId="0" xfId="0" applyNumberFormat="1" applyFont="1" applyFill="1" applyAlignment="1">
      <alignment horizontal="right"/>
    </xf>
    <xf numFmtId="0" fontId="0" fillId="2" borderId="0" xfId="0" applyNumberFormat="1" applyFill="1"/>
    <xf numFmtId="0" fontId="0" fillId="3" borderId="0" xfId="0" applyNumberFormat="1" applyFill="1"/>
    <xf numFmtId="0" fontId="0" fillId="0" borderId="1" xfId="0" applyBorder="1"/>
    <xf numFmtId="0" fontId="6" fillId="0" borderId="0" xfId="0" applyNumberFormat="1" applyFont="1" applyFill="1" applyAlignment="1">
      <alignment horizontal="right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6" borderId="1" xfId="0" applyFill="1" applyBorder="1"/>
    <xf numFmtId="0" fontId="7" fillId="6" borderId="1" xfId="0" applyFont="1" applyFill="1" applyBorder="1" applyAlignment="1"/>
    <xf numFmtId="0" fontId="5" fillId="0" borderId="1" xfId="0" applyNumberFormat="1" applyFont="1" applyFill="1" applyBorder="1" applyAlignment="1">
      <alignment horizontal="right"/>
    </xf>
    <xf numFmtId="0" fontId="0" fillId="5" borderId="1" xfId="0" applyFill="1" applyBorder="1"/>
    <xf numFmtId="0" fontId="7" fillId="5" borderId="1" xfId="0" applyFont="1" applyFill="1" applyBorder="1" applyAlignment="1"/>
    <xf numFmtId="0" fontId="0" fillId="4" borderId="1" xfId="0" applyFill="1" applyBorder="1"/>
    <xf numFmtId="0" fontId="0" fillId="0" borderId="1" xfId="0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4" borderId="0" xfId="0" applyFill="1" applyBorder="1"/>
    <xf numFmtId="0" fontId="7" fillId="4" borderId="0" xfId="0" applyFont="1" applyFill="1" applyBorder="1" applyAlignment="1"/>
    <xf numFmtId="0" fontId="0" fillId="4" borderId="0" xfId="0" applyNumberFormat="1" applyFill="1"/>
    <xf numFmtId="0" fontId="0" fillId="8" borderId="2" xfId="0" applyFill="1" applyBorder="1"/>
    <xf numFmtId="0" fontId="9" fillId="8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right"/>
    </xf>
    <xf numFmtId="0" fontId="4" fillId="7" borderId="0" xfId="0" applyNumberFormat="1" applyFont="1" applyFill="1" applyBorder="1"/>
    <xf numFmtId="0" fontId="0" fillId="8" borderId="2" xfId="0" applyNumberFormat="1" applyFill="1" applyBorder="1" applyAlignment="1">
      <alignment horizontal="right"/>
    </xf>
    <xf numFmtId="0" fontId="6" fillId="0" borderId="0" xfId="0" applyFont="1"/>
    <xf numFmtId="0" fontId="3" fillId="0" borderId="0" xfId="0" applyFont="1"/>
    <xf numFmtId="0" fontId="1" fillId="0" borderId="0" xfId="0" applyFont="1"/>
    <xf numFmtId="0" fontId="0" fillId="9" borderId="0" xfId="0" applyNumberFormat="1" applyFill="1"/>
    <xf numFmtId="0" fontId="0" fillId="8" borderId="0" xfId="0" applyNumberFormat="1" applyFill="1"/>
    <xf numFmtId="0" fontId="9" fillId="8" borderId="2" xfId="0" applyNumberFormat="1" applyFont="1" applyFill="1" applyBorder="1" applyAlignment="1">
      <alignment horizontal="center"/>
    </xf>
    <xf numFmtId="0" fontId="7" fillId="3" borderId="0" xfId="0" applyNumberFormat="1" applyFont="1" applyFill="1" applyAlignment="1"/>
    <xf numFmtId="0" fontId="7" fillId="2" borderId="0" xfId="0" applyNumberFormat="1" applyFont="1" applyFill="1" applyAlignment="1"/>
    <xf numFmtId="0" fontId="7" fillId="9" borderId="0" xfId="0" applyNumberFormat="1" applyFont="1" applyFill="1" applyAlignment="1"/>
    <xf numFmtId="0" fontId="7" fillId="8" borderId="0" xfId="0" applyNumberFormat="1" applyFont="1" applyFill="1" applyAlignment="1"/>
    <xf numFmtId="0" fontId="0" fillId="3" borderId="0" xfId="0" applyNumberFormat="1" applyFill="1" applyAlignment="1"/>
    <xf numFmtId="0" fontId="0" fillId="2" borderId="0" xfId="0" applyNumberFormat="1" applyFill="1" applyAlignment="1"/>
    <xf numFmtId="0" fontId="0" fillId="9" borderId="0" xfId="0" applyNumberFormat="1" applyFill="1" applyAlignment="1"/>
    <xf numFmtId="0" fontId="0" fillId="8" borderId="0" xfId="0" applyNumberFormat="1" applyFill="1" applyAlignment="1"/>
    <xf numFmtId="0" fontId="0" fillId="4" borderId="0" xfId="0" applyNumberFormat="1" applyFill="1" applyAlignment="1">
      <alignment horizontal="center"/>
    </xf>
    <xf numFmtId="0" fontId="12" fillId="0" borderId="0" xfId="0" applyNumberFormat="1" applyFont="1" applyFill="1" applyBorder="1"/>
    <xf numFmtId="0" fontId="0" fillId="0" borderId="0" xfId="0" applyFill="1"/>
    <xf numFmtId="0" fontId="0" fillId="8" borderId="3" xfId="0" applyFill="1" applyBorder="1" applyAlignment="1">
      <alignment horizontal="centerContinuous"/>
    </xf>
    <xf numFmtId="0" fontId="0" fillId="8" borderId="4" xfId="0" applyFill="1" applyBorder="1" applyAlignment="1">
      <alignment horizontal="centerContinuous"/>
    </xf>
    <xf numFmtId="0" fontId="6" fillId="8" borderId="1" xfId="0" applyFont="1" applyFill="1" applyBorder="1" applyAlignment="1">
      <alignment horizontal="centerContinuous"/>
    </xf>
    <xf numFmtId="0" fontId="0" fillId="8" borderId="0" xfId="0" applyFill="1" applyBorder="1" applyAlignment="1">
      <alignment horizontal="centerContinuous"/>
    </xf>
    <xf numFmtId="0" fontId="0" fillId="8" borderId="5" xfId="0" applyFill="1" applyBorder="1" applyAlignment="1">
      <alignment horizontal="centerContinuous"/>
    </xf>
    <xf numFmtId="0" fontId="6" fillId="8" borderId="6" xfId="0" applyFont="1" applyFill="1" applyBorder="1" applyAlignment="1">
      <alignment horizontal="centerContinuous"/>
    </xf>
    <xf numFmtId="0" fontId="0" fillId="8" borderId="7" xfId="0" applyFill="1" applyBorder="1" applyAlignment="1">
      <alignment horizontal="centerContinuous"/>
    </xf>
    <xf numFmtId="0" fontId="0" fillId="8" borderId="8" xfId="0" applyFill="1" applyBorder="1" applyAlignment="1">
      <alignment horizontal="centerContinuous"/>
    </xf>
    <xf numFmtId="0" fontId="6" fillId="0" borderId="0" xfId="0" applyFont="1" applyFill="1"/>
    <xf numFmtId="0" fontId="6" fillId="8" borderId="9" xfId="0" applyFont="1" applyFill="1" applyBorder="1"/>
    <xf numFmtId="0" fontId="6" fillId="8" borderId="10" xfId="0" applyFont="1" applyFill="1" applyBorder="1"/>
    <xf numFmtId="0" fontId="0" fillId="0" borderId="0" xfId="0" applyNumberFormat="1" applyAlignment="1">
      <alignment horizontal="center" vertical="top"/>
    </xf>
    <xf numFmtId="0" fontId="0" fillId="8" borderId="9" xfId="0" applyFill="1" applyBorder="1" applyAlignment="1">
      <alignment horizontal="centerContinuous"/>
    </xf>
    <xf numFmtId="0" fontId="0" fillId="8" borderId="10" xfId="0" applyFill="1" applyBorder="1" applyAlignment="1">
      <alignment horizontal="centerContinuous"/>
    </xf>
    <xf numFmtId="0" fontId="16" fillId="0" borderId="0" xfId="0" applyFont="1"/>
    <xf numFmtId="0" fontId="0" fillId="8" borderId="0" xfId="0" applyFill="1" applyBorder="1"/>
    <xf numFmtId="0" fontId="0" fillId="8" borderId="11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1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17" fillId="0" borderId="0" xfId="0" applyFont="1" applyBorder="1" applyAlignment="1">
      <alignment horizontal="right"/>
    </xf>
    <xf numFmtId="0" fontId="17" fillId="0" borderId="0" xfId="0" applyFont="1"/>
    <xf numFmtId="0" fontId="19" fillId="0" borderId="0" xfId="0" applyFont="1"/>
    <xf numFmtId="0" fontId="19" fillId="0" borderId="0" xfId="0" applyFont="1" applyBorder="1"/>
    <xf numFmtId="2" fontId="19" fillId="0" borderId="0" xfId="0" applyNumberFormat="1" applyFont="1" applyFill="1" applyBorder="1" applyAlignment="1">
      <alignment horizontal="right"/>
    </xf>
    <xf numFmtId="0" fontId="19" fillId="0" borderId="0" xfId="0" applyFont="1" applyBorder="1" applyAlignment="1">
      <alignment horizontal="right"/>
    </xf>
    <xf numFmtId="0" fontId="21" fillId="0" borderId="0" xfId="0" applyFont="1" applyAlignment="1">
      <alignment horizontal="right"/>
    </xf>
    <xf numFmtId="0" fontId="19" fillId="7" borderId="12" xfId="0" applyFont="1" applyFill="1" applyBorder="1" applyAlignment="1">
      <alignment horizontal="center"/>
    </xf>
    <xf numFmtId="0" fontId="17" fillId="0" borderId="0" xfId="0" applyFont="1" applyAlignment="1">
      <alignment horizontal="right"/>
    </xf>
    <xf numFmtId="0" fontId="8" fillId="0" borderId="0" xfId="0" applyNumberFormat="1" applyFont="1" applyFill="1" applyBorder="1" applyAlignment="1">
      <alignment horizontal="center"/>
    </xf>
    <xf numFmtId="0" fontId="8" fillId="0" borderId="0" xfId="0" applyNumberFormat="1" applyFont="1" applyFill="1" applyAlignment="1">
      <alignment horizontal="center"/>
    </xf>
    <xf numFmtId="0" fontId="8" fillId="0" borderId="0" xfId="0" applyNumberFormat="1" applyFont="1" applyFill="1"/>
    <xf numFmtId="0" fontId="17" fillId="0" borderId="0" xfId="0" applyNumberFormat="1" applyFont="1" applyAlignment="1">
      <alignment horizontal="center"/>
    </xf>
    <xf numFmtId="0" fontId="20" fillId="0" borderId="0" xfId="0" applyNumberFormat="1" applyFont="1" applyFill="1" applyBorder="1" applyAlignment="1">
      <alignment horizontal="center"/>
    </xf>
    <xf numFmtId="0" fontId="20" fillId="0" borderId="0" xfId="0" applyNumberFormat="1" applyFont="1" applyFill="1" applyAlignment="1">
      <alignment horizontal="center"/>
    </xf>
    <xf numFmtId="0" fontId="20" fillId="0" borderId="0" xfId="0" applyNumberFormat="1" applyFont="1" applyFill="1"/>
    <xf numFmtId="0" fontId="12" fillId="0" borderId="0" xfId="0" applyNumberFormat="1" applyFont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0" borderId="0" xfId="0" applyNumberFormat="1" applyFont="1"/>
    <xf numFmtId="0" fontId="20" fillId="0" borderId="0" xfId="0" applyFont="1" applyAlignment="1">
      <alignment horizontal="right"/>
    </xf>
    <xf numFmtId="0" fontId="12" fillId="0" borderId="0" xfId="0" applyNumberFormat="1" applyFont="1" applyAlignment="1">
      <alignment vertical="top"/>
    </xf>
    <xf numFmtId="0" fontId="11" fillId="0" borderId="0" xfId="0" applyNumberFormat="1" applyFont="1" applyAlignment="1">
      <alignment horizontal="left"/>
    </xf>
    <xf numFmtId="0" fontId="0" fillId="0" borderId="0" xfId="0" applyNumberFormat="1" applyAlignment="1">
      <alignment vertical="top"/>
    </xf>
    <xf numFmtId="0" fontId="12" fillId="0" borderId="13" xfId="0" applyNumberFormat="1" applyFont="1" applyFill="1" applyBorder="1" applyAlignment="1">
      <alignment horizontal="center"/>
    </xf>
    <xf numFmtId="0" fontId="12" fillId="0" borderId="0" xfId="0" applyNumberFormat="1" applyFont="1" applyFill="1" applyAlignment="1">
      <alignment horizontal="center"/>
    </xf>
    <xf numFmtId="0" fontId="8" fillId="0" borderId="13" xfId="0" applyNumberFormat="1" applyFont="1" applyBorder="1"/>
    <xf numFmtId="0" fontId="8" fillId="0" borderId="0" xfId="0" applyNumberFormat="1" applyFont="1"/>
    <xf numFmtId="0" fontId="26" fillId="0" borderId="5" xfId="0" applyNumberFormat="1" applyFont="1" applyBorder="1" applyAlignment="1">
      <alignment horizontal="left"/>
    </xf>
    <xf numFmtId="0" fontId="17" fillId="0" borderId="0" xfId="0" applyNumberFormat="1" applyFont="1"/>
    <xf numFmtId="0" fontId="20" fillId="0" borderId="0" xfId="0" applyNumberFormat="1" applyFont="1" applyFill="1" applyBorder="1"/>
    <xf numFmtId="0" fontId="26" fillId="0" borderId="0" xfId="0" applyNumberFormat="1" applyFont="1" applyBorder="1" applyAlignment="1">
      <alignment horizontal="left"/>
    </xf>
    <xf numFmtId="0" fontId="11" fillId="0" borderId="0" xfId="0" applyNumberFormat="1" applyFont="1" applyAlignment="1">
      <alignment horizontal="right" vertical="top"/>
    </xf>
    <xf numFmtId="0" fontId="12" fillId="0" borderId="0" xfId="0" applyNumberFormat="1" applyFont="1" applyAlignment="1">
      <alignment horizontal="right"/>
    </xf>
    <xf numFmtId="0" fontId="13" fillId="0" borderId="0" xfId="0" applyNumberFormat="1" applyFont="1" applyFill="1" applyBorder="1" applyAlignment="1">
      <alignment horizontal="right"/>
    </xf>
    <xf numFmtId="0" fontId="12" fillId="0" borderId="0" xfId="0" applyNumberFormat="1" applyFont="1" applyFill="1"/>
    <xf numFmtId="0" fontId="7" fillId="4" borderId="0" xfId="0" applyFont="1" applyFill="1" applyBorder="1" applyAlignment="1">
      <alignment horizontal="right"/>
    </xf>
    <xf numFmtId="0" fontId="7" fillId="6" borderId="0" xfId="0" applyFont="1" applyFill="1" applyBorder="1" applyAlignment="1">
      <alignment horizontal="right"/>
    </xf>
    <xf numFmtId="0" fontId="7" fillId="5" borderId="0" xfId="0" applyFont="1" applyFill="1" applyBorder="1" applyAlignment="1">
      <alignment horizontal="right"/>
    </xf>
    <xf numFmtId="0" fontId="0" fillId="0" borderId="14" xfId="0" applyBorder="1"/>
    <xf numFmtId="0" fontId="8" fillId="8" borderId="15" xfId="0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8" fillId="4" borderId="14" xfId="0" applyNumberFormat="1" applyFont="1" applyFill="1" applyBorder="1" applyAlignment="1">
      <alignment horizontal="center"/>
    </xf>
    <xf numFmtId="0" fontId="8" fillId="5" borderId="16" xfId="0" applyNumberFormat="1" applyFont="1" applyFill="1" applyBorder="1" applyAlignment="1">
      <alignment horizontal="center"/>
    </xf>
    <xf numFmtId="0" fontId="8" fillId="5" borderId="14" xfId="0" applyNumberFormat="1" applyFont="1" applyFill="1" applyBorder="1" applyAlignment="1">
      <alignment horizontal="center"/>
    </xf>
    <xf numFmtId="0" fontId="8" fillId="6" borderId="16" xfId="0" applyNumberFormat="1" applyFont="1" applyFill="1" applyBorder="1" applyAlignment="1">
      <alignment horizontal="center"/>
    </xf>
    <xf numFmtId="0" fontId="8" fillId="6" borderId="14" xfId="0" applyNumberFormat="1" applyFont="1" applyFill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8" borderId="15" xfId="0" applyNumberFormat="1" applyFont="1" applyFill="1" applyBorder="1" applyAlignment="1">
      <alignment horizontal="center"/>
    </xf>
    <xf numFmtId="0" fontId="8" fillId="3" borderId="14" xfId="0" applyNumberFormat="1" applyFont="1" applyFill="1" applyBorder="1" applyAlignment="1">
      <alignment horizontal="center"/>
    </xf>
    <xf numFmtId="0" fontId="8" fillId="2" borderId="14" xfId="0" applyNumberFormat="1" applyFont="1" applyFill="1" applyBorder="1" applyAlignment="1">
      <alignment horizontal="center"/>
    </xf>
    <xf numFmtId="0" fontId="8" fillId="9" borderId="14" xfId="0" applyNumberFormat="1" applyFont="1" applyFill="1" applyBorder="1" applyAlignment="1">
      <alignment horizontal="center"/>
    </xf>
    <xf numFmtId="0" fontId="8" fillId="8" borderId="14" xfId="0" applyNumberFormat="1" applyFont="1" applyFill="1" applyBorder="1" applyAlignment="1">
      <alignment horizontal="center"/>
    </xf>
    <xf numFmtId="0" fontId="8" fillId="0" borderId="14" xfId="0" applyNumberFormat="1" applyFont="1" applyBorder="1" applyAlignment="1">
      <alignment horizontal="center"/>
    </xf>
    <xf numFmtId="0" fontId="7" fillId="8" borderId="0" xfId="0" applyNumberFormat="1" applyFont="1" applyFill="1" applyAlignment="1">
      <alignment horizontal="right"/>
    </xf>
    <xf numFmtId="0" fontId="7" fillId="9" borderId="0" xfId="0" applyNumberFormat="1" applyFont="1" applyFill="1" applyAlignment="1">
      <alignment horizontal="right"/>
    </xf>
    <xf numFmtId="0" fontId="7" fillId="2" borderId="0" xfId="0" applyNumberFormat="1" applyFont="1" applyFill="1" applyAlignment="1">
      <alignment horizontal="right"/>
    </xf>
    <xf numFmtId="0" fontId="7" fillId="3" borderId="0" xfId="0" applyNumberFormat="1" applyFont="1" applyFill="1" applyAlignment="1">
      <alignment horizontal="right"/>
    </xf>
    <xf numFmtId="0" fontId="27" fillId="0" borderId="0" xfId="0" applyFont="1"/>
    <xf numFmtId="0" fontId="28" fillId="0" borderId="0" xfId="0" applyFont="1"/>
    <xf numFmtId="0" fontId="17" fillId="0" borderId="10" xfId="0" applyFont="1" applyBorder="1" applyAlignment="1">
      <alignment horizontal="centerContinuous"/>
    </xf>
    <xf numFmtId="0" fontId="17" fillId="3" borderId="17" xfId="0" applyNumberFormat="1" applyFont="1" applyFill="1" applyBorder="1" applyAlignment="1">
      <alignment horizontal="centerContinuous"/>
    </xf>
    <xf numFmtId="0" fontId="17" fillId="3" borderId="10" xfId="0" applyNumberFormat="1" applyFont="1" applyFill="1" applyBorder="1" applyAlignment="1">
      <alignment horizontal="centerContinuous"/>
    </xf>
    <xf numFmtId="0" fontId="17" fillId="8" borderId="17" xfId="0" applyNumberFormat="1" applyFont="1" applyFill="1" applyBorder="1" applyAlignment="1">
      <alignment horizontal="centerContinuous"/>
    </xf>
    <xf numFmtId="0" fontId="17" fillId="8" borderId="10" xfId="0" applyNumberFormat="1" applyFont="1" applyFill="1" applyBorder="1" applyAlignment="1">
      <alignment horizontal="centerContinuous"/>
    </xf>
    <xf numFmtId="2" fontId="17" fillId="10" borderId="17" xfId="0" applyNumberFormat="1" applyFont="1" applyFill="1" applyBorder="1" applyAlignment="1">
      <alignment horizontal="centerContinuous"/>
    </xf>
    <xf numFmtId="2" fontId="17" fillId="10" borderId="10" xfId="0" applyNumberFormat="1" applyFont="1" applyFill="1" applyBorder="1" applyAlignment="1">
      <alignment horizontal="centerContinuous"/>
    </xf>
    <xf numFmtId="0" fontId="29" fillId="0" borderId="12" xfId="0" applyFont="1" applyBorder="1" applyAlignment="1">
      <alignment horizontal="centerContinuous"/>
    </xf>
    <xf numFmtId="0" fontId="12" fillId="0" borderId="0" xfId="0" applyNumberFormat="1" applyFont="1" applyFill="1" applyBorder="1" applyAlignment="1">
      <alignment vertical="top"/>
    </xf>
    <xf numFmtId="0" fontId="5" fillId="0" borderId="0" xfId="0" applyNumberFormat="1" applyFont="1" applyFill="1" applyBorder="1" applyAlignment="1">
      <alignment vertical="top"/>
    </xf>
    <xf numFmtId="0" fontId="23" fillId="11" borderId="14" xfId="0" applyNumberFormat="1" applyFont="1" applyFill="1" applyBorder="1" applyAlignment="1">
      <alignment vertical="top"/>
    </xf>
    <xf numFmtId="0" fontId="24" fillId="11" borderId="14" xfId="0" applyNumberFormat="1" applyFont="1" applyFill="1" applyBorder="1" applyAlignment="1">
      <alignment horizontal="centerContinuous" vertical="center"/>
    </xf>
    <xf numFmtId="0" fontId="25" fillId="11" borderId="14" xfId="0" applyNumberFormat="1" applyFont="1" applyFill="1" applyBorder="1" applyAlignment="1">
      <alignment horizontal="centerContinuous" vertical="top"/>
    </xf>
    <xf numFmtId="0" fontId="25" fillId="11" borderId="14" xfId="0" applyNumberFormat="1" applyFont="1" applyFill="1" applyBorder="1" applyAlignment="1">
      <alignment vertical="top"/>
    </xf>
    <xf numFmtId="0" fontId="23" fillId="11" borderId="14" xfId="0" applyNumberFormat="1" applyFont="1" applyFill="1" applyBorder="1"/>
    <xf numFmtId="0" fontId="23" fillId="11" borderId="14" xfId="0" applyFont="1" applyFill="1" applyBorder="1" applyAlignment="1">
      <alignment vertical="top"/>
    </xf>
    <xf numFmtId="0" fontId="24" fillId="11" borderId="14" xfId="0" applyFont="1" applyFill="1" applyBorder="1" applyAlignment="1">
      <alignment vertical="center"/>
    </xf>
    <xf numFmtId="0" fontId="25" fillId="11" borderId="14" xfId="0" applyFont="1" applyFill="1" applyBorder="1" applyAlignment="1">
      <alignment vertical="top"/>
    </xf>
    <xf numFmtId="0" fontId="23" fillId="11" borderId="14" xfId="0" applyFont="1" applyFill="1" applyBorder="1"/>
    <xf numFmtId="0" fontId="0" fillId="7" borderId="6" xfId="0" applyNumberFormat="1" applyFill="1" applyBorder="1" applyAlignment="1">
      <alignment vertical="center"/>
    </xf>
    <xf numFmtId="0" fontId="22" fillId="7" borderId="7" xfId="0" applyNumberFormat="1" applyFont="1" applyFill="1" applyBorder="1" applyAlignment="1">
      <alignment horizontal="right" vertical="center"/>
    </xf>
    <xf numFmtId="0" fontId="14" fillId="7" borderId="8" xfId="0" applyNumberFormat="1" applyFont="1" applyFill="1" applyBorder="1" applyAlignment="1">
      <alignment horizontal="left" vertical="center"/>
    </xf>
    <xf numFmtId="0" fontId="22" fillId="7" borderId="9" xfId="0" applyNumberFormat="1" applyFont="1" applyFill="1" applyBorder="1" applyAlignment="1">
      <alignment horizontal="right" vertical="center"/>
    </xf>
    <xf numFmtId="0" fontId="23" fillId="0" borderId="0" xfId="0" applyNumberFormat="1" applyFont="1" applyFill="1" applyBorder="1" applyAlignment="1">
      <alignment vertical="top"/>
    </xf>
    <xf numFmtId="0" fontId="24" fillId="0" borderId="0" xfId="0" applyNumberFormat="1" applyFont="1" applyFill="1" applyBorder="1" applyAlignment="1">
      <alignment vertical="center"/>
    </xf>
    <xf numFmtId="0" fontId="24" fillId="0" borderId="0" xfId="0" applyNumberFormat="1" applyFont="1" applyFill="1" applyBorder="1" applyAlignment="1">
      <alignment horizontal="centerContinuous" vertical="center"/>
    </xf>
    <xf numFmtId="0" fontId="25" fillId="0" borderId="0" xfId="0" applyNumberFormat="1" applyFont="1" applyFill="1" applyBorder="1" applyAlignment="1">
      <alignment horizontal="centerContinuous" vertical="top"/>
    </xf>
    <xf numFmtId="0" fontId="25" fillId="0" borderId="0" xfId="0" applyNumberFormat="1" applyFont="1" applyFill="1" applyBorder="1" applyAlignment="1">
      <alignment vertical="top"/>
    </xf>
    <xf numFmtId="0" fontId="23" fillId="0" borderId="0" xfId="0" applyNumberFormat="1" applyFont="1" applyFill="1" applyBorder="1"/>
    <xf numFmtId="0" fontId="11" fillId="7" borderId="17" xfId="0" applyNumberFormat="1" applyFont="1" applyFill="1" applyBorder="1" applyAlignment="1">
      <alignment vertical="center"/>
    </xf>
    <xf numFmtId="0" fontId="11" fillId="7" borderId="10" xfId="0" applyNumberFormat="1" applyFont="1" applyFill="1" applyBorder="1" applyAlignment="1">
      <alignment vertical="center"/>
    </xf>
    <xf numFmtId="0" fontId="24" fillId="11" borderId="16" xfId="0" applyNumberFormat="1" applyFont="1" applyFill="1" applyBorder="1" applyAlignment="1">
      <alignment vertic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15" fillId="8" borderId="17" xfId="0" applyFont="1" applyFill="1" applyBorder="1"/>
    <xf numFmtId="0" fontId="15" fillId="8" borderId="17" xfId="0" applyFont="1" applyFill="1" applyBorder="1" applyAlignment="1">
      <alignment horizontal="centerContinuous"/>
    </xf>
    <xf numFmtId="0" fontId="24" fillId="11" borderId="18" xfId="0" applyNumberFormat="1" applyFont="1" applyFill="1" applyBorder="1" applyAlignment="1">
      <alignment horizontal="centerContinuous" vertical="center"/>
    </xf>
    <xf numFmtId="0" fontId="25" fillId="11" borderId="18" xfId="0" applyNumberFormat="1" applyFont="1" applyFill="1" applyBorder="1" applyAlignment="1">
      <alignment horizontal="centerContinuous" vertical="top"/>
    </xf>
    <xf numFmtId="0" fontId="23" fillId="11" borderId="20" xfId="0" applyNumberFormat="1" applyFont="1" applyFill="1" applyBorder="1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2" fontId="18" fillId="12" borderId="12" xfId="0" applyNumberFormat="1" applyFont="1" applyFill="1" applyBorder="1" applyAlignment="1">
      <alignment horizontal="center"/>
    </xf>
    <xf numFmtId="0" fontId="18" fillId="11" borderId="12" xfId="0" applyNumberFormat="1" applyFont="1" applyFill="1" applyBorder="1" applyAlignment="1">
      <alignment horizontal="center"/>
    </xf>
    <xf numFmtId="0" fontId="19" fillId="7" borderId="12" xfId="0" applyNumberFormat="1" applyFont="1" applyFill="1" applyBorder="1" applyAlignment="1">
      <alignment horizontal="center"/>
    </xf>
    <xf numFmtId="0" fontId="12" fillId="7" borderId="21" xfId="0" applyNumberFormat="1" applyFont="1" applyFill="1" applyBorder="1" applyAlignment="1">
      <alignment horizontal="center"/>
    </xf>
    <xf numFmtId="0" fontId="12" fillId="7" borderId="22" xfId="0" applyNumberFormat="1" applyFont="1" applyFill="1" applyBorder="1" applyAlignment="1">
      <alignment horizontal="center"/>
    </xf>
    <xf numFmtId="0" fontId="13" fillId="0" borderId="5" xfId="0" applyNumberFormat="1" applyFont="1" applyBorder="1" applyAlignment="1">
      <alignment horizontal="right"/>
    </xf>
    <xf numFmtId="0" fontId="16" fillId="12" borderId="22" xfId="0" applyNumberFormat="1" applyFont="1" applyFill="1" applyBorder="1" applyAlignment="1">
      <alignment horizontal="center"/>
    </xf>
    <xf numFmtId="0" fontId="12" fillId="7" borderId="23" xfId="0" applyNumberFormat="1" applyFont="1" applyFill="1" applyBorder="1" applyAlignment="1">
      <alignment horizontal="center"/>
    </xf>
    <xf numFmtId="0" fontId="0" fillId="0" borderId="5" xfId="0" applyNumberFormat="1" applyBorder="1"/>
    <xf numFmtId="0" fontId="11" fillId="11" borderId="22" xfId="0" applyNumberFormat="1" applyFont="1" applyFill="1" applyBorder="1" applyAlignment="1">
      <alignment horizontal="center"/>
    </xf>
    <xf numFmtId="0" fontId="17" fillId="0" borderId="5" xfId="0" applyNumberFormat="1" applyFont="1" applyBorder="1" applyAlignment="1">
      <alignment horizontal="right" vertical="center"/>
    </xf>
    <xf numFmtId="0" fontId="13" fillId="0" borderId="5" xfId="0" applyNumberFormat="1" applyFont="1" applyBorder="1" applyAlignment="1">
      <alignment horizontal="right" vertical="center"/>
    </xf>
    <xf numFmtId="0" fontId="23" fillId="0" borderId="0" xfId="0" applyNumberFormat="1" applyFont="1" applyFill="1" applyBorder="1" applyAlignment="1">
      <alignment horizontal="centerContinuous"/>
    </xf>
    <xf numFmtId="0" fontId="17" fillId="0" borderId="5" xfId="0" applyFont="1" applyBorder="1" applyAlignment="1">
      <alignment horizontal="right"/>
    </xf>
    <xf numFmtId="2" fontId="19" fillId="0" borderId="5" xfId="0" applyNumberFormat="1" applyFont="1" applyFill="1" applyBorder="1" applyAlignment="1">
      <alignment horizontal="right"/>
    </xf>
    <xf numFmtId="0" fontId="19" fillId="0" borderId="5" xfId="0" applyFont="1" applyBorder="1" applyAlignment="1">
      <alignment horizontal="right"/>
    </xf>
    <xf numFmtId="0" fontId="12" fillId="0" borderId="0" xfId="0" applyNumberFormat="1" applyFont="1" applyFill="1" applyBorder="1" applyAlignment="1">
      <alignment horizontal="center"/>
    </xf>
    <xf numFmtId="0" fontId="8" fillId="0" borderId="0" xfId="0" applyNumberFormat="1" applyFont="1" applyBorder="1"/>
    <xf numFmtId="0" fontId="11" fillId="0" borderId="0" xfId="0" applyNumberFormat="1" applyFont="1" applyBorder="1" applyAlignment="1">
      <alignment horizontal="right" vertical="top"/>
    </xf>
    <xf numFmtId="0" fontId="12" fillId="0" borderId="0" xfId="0" applyNumberFormat="1" applyFont="1" applyBorder="1"/>
    <xf numFmtId="0" fontId="0" fillId="0" borderId="0" xfId="1" applyNumberFormat="1" applyFont="1" applyAlignment="1">
      <alignment horizontal="center"/>
    </xf>
    <xf numFmtId="0" fontId="0" fillId="0" borderId="0" xfId="1" applyNumberFormat="1" applyFont="1"/>
    <xf numFmtId="0" fontId="21" fillId="0" borderId="0" xfId="0" applyNumberFormat="1" applyFont="1"/>
    <xf numFmtId="166" fontId="2" fillId="0" borderId="0" xfId="1" applyNumberFormat="1" applyAlignment="1">
      <alignment horizontal="center"/>
    </xf>
    <xf numFmtId="165" fontId="2" fillId="0" borderId="0" xfId="1" applyNumberFormat="1" applyAlignment="1">
      <alignment horizontal="center"/>
    </xf>
    <xf numFmtId="0" fontId="24" fillId="8" borderId="7" xfId="0" applyFont="1" applyFill="1" applyBorder="1" applyAlignment="1">
      <alignment vertical="center"/>
    </xf>
    <xf numFmtId="0" fontId="0" fillId="8" borderId="7" xfId="0" applyFill="1" applyBorder="1" applyAlignment="1">
      <alignment vertical="center"/>
    </xf>
    <xf numFmtId="0" fontId="32" fillId="0" borderId="0" xfId="0" applyFont="1"/>
    <xf numFmtId="0" fontId="33" fillId="0" borderId="0" xfId="0" applyFont="1"/>
    <xf numFmtId="0" fontId="32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33" fillId="0" borderId="0" xfId="0" applyNumberFormat="1" applyFont="1" applyAlignment="1">
      <alignment horizontal="left"/>
    </xf>
    <xf numFmtId="0" fontId="33" fillId="0" borderId="0" xfId="0" applyNumberFormat="1" applyFont="1"/>
    <xf numFmtId="0" fontId="15" fillId="0" borderId="0" xfId="0" applyFont="1" applyAlignment="1">
      <alignment horizontal="right"/>
    </xf>
    <xf numFmtId="0" fontId="15" fillId="0" borderId="0" xfId="0" applyNumberFormat="1" applyFont="1" applyAlignment="1">
      <alignment horizontal="right"/>
    </xf>
    <xf numFmtId="11" fontId="0" fillId="0" borderId="0" xfId="0" applyNumberFormat="1"/>
    <xf numFmtId="0" fontId="9" fillId="11" borderId="19" xfId="0" applyNumberFormat="1" applyFont="1" applyFill="1" applyBorder="1" applyAlignment="1">
      <alignment horizontal="centerContinuous" vertical="center"/>
    </xf>
    <xf numFmtId="0" fontId="11" fillId="8" borderId="11" xfId="0" applyFont="1" applyFill="1" applyBorder="1" applyAlignment="1">
      <alignment horizontal="centerContinuous" vertical="center"/>
    </xf>
    <xf numFmtId="0" fontId="2" fillId="0" borderId="0" xfId="0" applyFont="1"/>
    <xf numFmtId="2" fontId="19" fillId="3" borderId="12" xfId="0" applyNumberFormat="1" applyFont="1" applyFill="1" applyBorder="1"/>
    <xf numFmtId="2" fontId="19" fillId="10" borderId="12" xfId="0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330935251798566E-2"/>
          <c:y val="0.12093023255813953"/>
          <c:w val="0.70143884892086328"/>
          <c:h val="0.78139534883720929"/>
        </c:manualLayout>
      </c:layout>
      <c:scatterChart>
        <c:scatterStyle val="lineMarker"/>
        <c:varyColors val="0"/>
        <c:ser>
          <c:idx val="1"/>
          <c:order val="0"/>
          <c:tx>
            <c:strRef>
              <c:f>Inventory!$D$6:$D$7</c:f>
              <c:strCache>
                <c:ptCount val="2"/>
                <c:pt idx="0">
                  <c:v>Station 1's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Inventory!$B$8:$B$207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Inventory!$D$8:$D$207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9-4552-915C-D7CD3137E87B}"/>
            </c:ext>
          </c:extLst>
        </c:ser>
        <c:ser>
          <c:idx val="2"/>
          <c:order val="1"/>
          <c:tx>
            <c:strRef>
              <c:f>Inventory!$E$6:$E$7</c:f>
              <c:strCache>
                <c:ptCount val="2"/>
                <c:pt idx="0">
                  <c:v>Station 2's</c:v>
                </c:pt>
              </c:strCache>
            </c:strRef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Inventory!$B$8:$B$207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Inventory!$E$8:$E$207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F9-4552-915C-D7CD3137E87B}"/>
            </c:ext>
          </c:extLst>
        </c:ser>
        <c:ser>
          <c:idx val="3"/>
          <c:order val="2"/>
          <c:tx>
            <c:strRef>
              <c:f>Inventory!$F$6:$F$7</c:f>
              <c:strCache>
                <c:ptCount val="2"/>
                <c:pt idx="0">
                  <c:v>M3's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Inventory!$B$8:$B$207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Inventory!$F$8:$F$207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F9-4552-915C-D7CD3137E87B}"/>
            </c:ext>
          </c:extLst>
        </c:ser>
        <c:ser>
          <c:idx val="4"/>
          <c:order val="3"/>
          <c:tx>
            <c:strRef>
              <c:f>Inventory!$G$6:$G$7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Inventory!$B$8:$B$207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Inventory!$G$8:$G$207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F9-4552-915C-D7CD3137E87B}"/>
            </c:ext>
          </c:extLst>
        </c:ser>
        <c:ser>
          <c:idx val="5"/>
          <c:order val="4"/>
          <c:tx>
            <c:strRef>
              <c:f>Inventory!$H$6:$H$7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Inventory!$B$8:$B$207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Inventory!$H$8:$H$207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F9-4552-915C-D7CD3137E87B}"/>
            </c:ext>
          </c:extLst>
        </c:ser>
        <c:ser>
          <c:idx val="6"/>
          <c:order val="5"/>
          <c:tx>
            <c:strRef>
              <c:f>Inventory!$I$6:$I$7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Inventory!$B$8:$B$207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Inventory!$I$8:$I$207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F9-4552-915C-D7CD3137E87B}"/>
            </c:ext>
          </c:extLst>
        </c:ser>
        <c:ser>
          <c:idx val="7"/>
          <c:order val="6"/>
          <c:tx>
            <c:strRef>
              <c:f>Inventory!$J$6:$J$7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Inventory!$B$8:$B$207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Inventory!$J$8:$J$207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3F9-4552-915C-D7CD3137E87B}"/>
            </c:ext>
          </c:extLst>
        </c:ser>
        <c:ser>
          <c:idx val="8"/>
          <c:order val="7"/>
          <c:tx>
            <c:strRef>
              <c:f>Inventory!$K$6:$K$7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Inventory!$B$8:$B$207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Inventory!$K$8:$K$207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F9-4552-915C-D7CD3137E87B}"/>
            </c:ext>
          </c:extLst>
        </c:ser>
        <c:ser>
          <c:idx val="9"/>
          <c:order val="8"/>
          <c:tx>
            <c:strRef>
              <c:f>Inventory!$L$6:$L$7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69FFFF"/>
              </a:solidFill>
              <a:prstDash val="solid"/>
            </a:ln>
          </c:spPr>
          <c:marker>
            <c:symbol val="none"/>
          </c:marker>
          <c:xVal>
            <c:numRef>
              <c:f>Inventory!$B$8:$B$207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Inventory!$L$8:$L$207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F9-4552-915C-D7CD3137E87B}"/>
            </c:ext>
          </c:extLst>
        </c:ser>
        <c:ser>
          <c:idx val="10"/>
          <c:order val="9"/>
          <c:tx>
            <c:strRef>
              <c:f>Inventory!$M$6:$M$7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Inventory!$B$8:$B$207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Inventory!$M$8:$M$207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F9-4552-915C-D7CD3137E87B}"/>
            </c:ext>
          </c:extLst>
        </c:ser>
        <c:ser>
          <c:idx val="11"/>
          <c:order val="10"/>
          <c:tx>
            <c:strRef>
              <c:f>Inventory!$N$6:$N$7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Inventory!$B$8:$B$207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Inventory!$N$8:$N$207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3F9-4552-915C-D7CD3137E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003407"/>
        <c:axId val="1"/>
      </c:scatterChart>
      <c:valAx>
        <c:axId val="201600340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6003407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384712295578434"/>
          <c:y val="0.20327868852459016"/>
          <c:w val="0.27384647688269736"/>
          <c:h val="0.531147540983606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272843491890309E-2"/>
          <c:y val="0.12558139534883722"/>
          <c:w val="0.69818274793512247"/>
          <c:h val="0.77674418604651163"/>
        </c:manualLayout>
      </c:layout>
      <c:scatterChart>
        <c:scatterStyle val="lineMarker"/>
        <c:varyColors val="0"/>
        <c:ser>
          <c:idx val="2"/>
          <c:order val="0"/>
          <c:tx>
            <c:strRef>
              <c:f>Machines!$D$6:$D$7</c:f>
              <c:strCache>
                <c:ptCount val="2"/>
                <c:pt idx="0">
                  <c:v>Station 1</c:v>
                </c:pt>
              </c:strCache>
            </c:strRef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Machines!$D$8:$D$107</c:f>
              <c:numCache>
                <c:formatCode>General</c:formatCode>
                <c:ptCount val="100"/>
                <c:pt idx="0">
                  <c:v>0.72481453834199372</c:v>
                </c:pt>
                <c:pt idx="1">
                  <c:v>0.72653462424671644</c:v>
                </c:pt>
                <c:pt idx="2">
                  <c:v>0.72570381961272667</c:v>
                </c:pt>
                <c:pt idx="3">
                  <c:v>0.69550063253135019</c:v>
                </c:pt>
                <c:pt idx="4">
                  <c:v>0.71376460427784338</c:v>
                </c:pt>
                <c:pt idx="5">
                  <c:v>0.74091526062133295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70-4914-ACA4-F92C75D424B2}"/>
            </c:ext>
          </c:extLst>
        </c:ser>
        <c:ser>
          <c:idx val="3"/>
          <c:order val="1"/>
          <c:tx>
            <c:strRef>
              <c:f>Machines!$E$6:$E$7</c:f>
              <c:strCache>
                <c:ptCount val="2"/>
                <c:pt idx="0">
                  <c:v>Station 2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Machines!$E$8:$E$107</c:f>
              <c:numCache>
                <c:formatCode>General</c:formatCode>
                <c:ptCount val="100"/>
                <c:pt idx="0">
                  <c:v>0.68240431472776575</c:v>
                </c:pt>
                <c:pt idx="1">
                  <c:v>0.7231706414561988</c:v>
                </c:pt>
                <c:pt idx="2">
                  <c:v>0.73832185715057108</c:v>
                </c:pt>
                <c:pt idx="3">
                  <c:v>0.70505153684204203</c:v>
                </c:pt>
                <c:pt idx="4">
                  <c:v>0.76937626278724935</c:v>
                </c:pt>
                <c:pt idx="5">
                  <c:v>0.71375591220705248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70-4914-ACA4-F92C75D424B2}"/>
            </c:ext>
          </c:extLst>
        </c:ser>
        <c:ser>
          <c:idx val="4"/>
          <c:order val="2"/>
          <c:tx>
            <c:strRef>
              <c:f>Machines!$F$6:$F$7</c:f>
              <c:strCache>
                <c:ptCount val="2"/>
                <c:pt idx="0">
                  <c:v>M3</c:v>
                </c:pt>
              </c:strCache>
            </c:strRef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Machines!$F$8:$F$107</c:f>
              <c:numCache>
                <c:formatCode>General</c:formatCode>
                <c:ptCount val="100"/>
                <c:pt idx="0">
                  <c:v>0.64260152236489743</c:v>
                </c:pt>
                <c:pt idx="1">
                  <c:v>0.7136785322291691</c:v>
                </c:pt>
                <c:pt idx="2">
                  <c:v>0.7250986897131827</c:v>
                </c:pt>
                <c:pt idx="3">
                  <c:v>0.69162926996820673</c:v>
                </c:pt>
                <c:pt idx="4">
                  <c:v>0.7295881251884061</c:v>
                </c:pt>
                <c:pt idx="5">
                  <c:v>0.71021822152256209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70-4914-ACA4-F92C75D424B2}"/>
            </c:ext>
          </c:extLst>
        </c:ser>
        <c:ser>
          <c:idx val="5"/>
          <c:order val="3"/>
          <c:tx>
            <c:strRef>
              <c:f>Machines!$G$6:$G$7</c:f>
              <c:strCache>
                <c:ptCount val="2"/>
                <c:pt idx="0">
                  <c:v>M4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Machines!$G$8:$G$107</c:f>
              <c:numCache>
                <c:formatCode>General</c:formatCode>
                <c:ptCount val="100"/>
                <c:pt idx="0">
                  <c:v>0.67070627332024491</c:v>
                </c:pt>
                <c:pt idx="1">
                  <c:v>0.7642807080975057</c:v>
                </c:pt>
                <c:pt idx="2">
                  <c:v>0.71865525188022317</c:v>
                </c:pt>
                <c:pt idx="3">
                  <c:v>0.76506487782146726</c:v>
                </c:pt>
                <c:pt idx="4">
                  <c:v>0.68804935884373342</c:v>
                </c:pt>
                <c:pt idx="5">
                  <c:v>0.73819770138930385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770-4914-ACA4-F92C75D424B2}"/>
            </c:ext>
          </c:extLst>
        </c:ser>
        <c:ser>
          <c:idx val="6"/>
          <c:order val="4"/>
          <c:tx>
            <c:strRef>
              <c:f>Machines!$H$6:$H$7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Machines!$H$8:$H$107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770-4914-ACA4-F92C75D424B2}"/>
            </c:ext>
          </c:extLst>
        </c:ser>
        <c:ser>
          <c:idx val="7"/>
          <c:order val="5"/>
          <c:tx>
            <c:strRef>
              <c:f>Machines!$I$6:$I$7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Machines!$I$8:$I$107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770-4914-ACA4-F92C75D424B2}"/>
            </c:ext>
          </c:extLst>
        </c:ser>
        <c:ser>
          <c:idx val="8"/>
          <c:order val="6"/>
          <c:tx>
            <c:strRef>
              <c:f>Machines!$J$6:$J$7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Machines!$J$8:$J$107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770-4914-ACA4-F92C75D424B2}"/>
            </c:ext>
          </c:extLst>
        </c:ser>
        <c:ser>
          <c:idx val="9"/>
          <c:order val="7"/>
          <c:tx>
            <c:strRef>
              <c:f>Machines!$K$6:$K$7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69FFFF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Machines!$K$8:$K$107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770-4914-ACA4-F92C75D424B2}"/>
            </c:ext>
          </c:extLst>
        </c:ser>
        <c:ser>
          <c:idx val="10"/>
          <c:order val="8"/>
          <c:tx>
            <c:strRef>
              <c:f>Machines!$L$6:$L$7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Machines!$L$8:$L$107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770-4914-ACA4-F92C75D424B2}"/>
            </c:ext>
          </c:extLst>
        </c:ser>
        <c:ser>
          <c:idx val="11"/>
          <c:order val="9"/>
          <c:tx>
            <c:strRef>
              <c:f>Machines!$M$6:$M$7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Machines!$M$8:$M$107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770-4914-ACA4-F92C75D424B2}"/>
            </c:ext>
          </c:extLst>
        </c:ser>
        <c:ser>
          <c:idx val="12"/>
          <c:order val="10"/>
          <c:tx>
            <c:strRef>
              <c:f>Machines!$N$6:$N$7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A6CAF0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Machines!$N$8:$N$107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770-4914-ACA4-F92C75D424B2}"/>
            </c:ext>
          </c:extLst>
        </c:ser>
        <c:ser>
          <c:idx val="13"/>
          <c:order val="11"/>
          <c:tx>
            <c:strRef>
              <c:f>Machines!$O$6:$O$7</c:f>
              <c:strCache>
                <c:ptCount val="2"/>
                <c:pt idx="0">
                  <c:v> </c:v>
                </c:pt>
              </c:strCache>
            </c:strRef>
          </c:tx>
          <c:spPr>
            <a:ln w="38100">
              <a:solidFill>
                <a:srgbClr val="CC9CCC"/>
              </a:solidFill>
              <a:prstDash val="solid"/>
            </a:ln>
          </c:spPr>
          <c:marker>
            <c:symbol val="none"/>
          </c:marker>
          <c:xVal>
            <c:numRef>
              <c:f>Machines!$A$8:$A$107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Machines!$O$8:$O$107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770-4914-ACA4-F92C75D4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001743"/>
        <c:axId val="1"/>
      </c:scatterChart>
      <c:valAx>
        <c:axId val="2016001743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6001743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981464273487551"/>
          <c:y val="0.13770491803278689"/>
          <c:w val="0.25776430120148031"/>
          <c:h val="0.580327868852458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Drop" dropLines="6" dropStyle="combo" dx="22" fmlaLink="$C$7" fmlaRange="DistChoiceTable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D$4" max="12" min="2" page="10" val="4"/>
</file>

<file path=xl/ctrlProps/ctrlProp5.xml><?xml version="1.0" encoding="utf-8"?>
<formControlPr xmlns="http://schemas.microsoft.com/office/spreadsheetml/2009/9/main" objectType="Drop" dropLines="6" dropStyle="combo" dx="22" fmlaLink="$D$7" fmlaRange="DistChoiceTable" sel="2" val="0"/>
</file>

<file path=xl/ctrlProps/ctrlProp6.xml><?xml version="1.0" encoding="utf-8"?>
<formControlPr xmlns="http://schemas.microsoft.com/office/spreadsheetml/2009/9/main" objectType="CheckBox" checked="Checked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6" dropStyle="combo" dx="22" fmlaLink="$E$7" fmlaRange="DistChoiceTable" sel="2" val="0"/>
</file>

<file path=xl/ctrlProps/ctrlProp9.xml><?xml version="1.0" encoding="utf-8"?>
<formControlPr xmlns="http://schemas.microsoft.com/office/spreadsheetml/2009/9/main" objectType="Drop" dropLines="6" dropStyle="combo" dx="22" fmlaLink="$F$7" fmlaRange="DistChoiceTable" sel="2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15" fmlaLink="$F$7" inc="5" max="100" min="5" page="10" val="5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89</xdr:row>
      <xdr:rowOff>28575</xdr:rowOff>
    </xdr:from>
    <xdr:to>
      <xdr:col>5</xdr:col>
      <xdr:colOff>114300</xdr:colOff>
      <xdr:row>98</xdr:row>
      <xdr:rowOff>28575</xdr:rowOff>
    </xdr:to>
    <xdr:sp macro="" textlink="">
      <xdr:nvSpPr>
        <xdr:cNvPr id="1038" name="Picture 14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5</xdr:col>
      <xdr:colOff>152400</xdr:colOff>
      <xdr:row>89</xdr:row>
      <xdr:rowOff>28575</xdr:rowOff>
    </xdr:from>
    <xdr:to>
      <xdr:col>8</xdr:col>
      <xdr:colOff>571500</xdr:colOff>
      <xdr:row>98</xdr:row>
      <xdr:rowOff>28575</xdr:rowOff>
    </xdr:to>
    <xdr:sp macro="" textlink="">
      <xdr:nvSpPr>
        <xdr:cNvPr id="1039" name="Pictur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5</xdr:col>
      <xdr:colOff>95250</xdr:colOff>
      <xdr:row>109</xdr:row>
      <xdr:rowOff>0</xdr:rowOff>
    </xdr:to>
    <xdr:sp macro="" textlink="">
      <xdr:nvSpPr>
        <xdr:cNvPr id="1040" name="Picture 16" hidden="1">
          <a:extLst>
            <a:ext uri="{63B3BB69-23CF-44E3-9099-C40C66FF867C}">
              <a14:compatExt xmlns:a14="http://schemas.microsoft.com/office/drawing/2010/main" spid="_x0000_s1040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5</xdr:col>
      <xdr:colOff>190500</xdr:colOff>
      <xdr:row>100</xdr:row>
      <xdr:rowOff>0</xdr:rowOff>
    </xdr:from>
    <xdr:to>
      <xdr:col>8</xdr:col>
      <xdr:colOff>609600</xdr:colOff>
      <xdr:row>109</xdr:row>
      <xdr:rowOff>0</xdr:rowOff>
    </xdr:to>
    <xdr:sp macro="" textlink="">
      <xdr:nvSpPr>
        <xdr:cNvPr id="1041" name="Picture 17" hidden="1">
          <a:extLst>
            <a:ext uri="{63B3BB69-23CF-44E3-9099-C40C66FF867C}">
              <a14:compatExt xmlns:a14="http://schemas.microsoft.com/office/drawing/2010/main" spid="_x0000_s1041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5</xdr:col>
      <xdr:colOff>95250</xdr:colOff>
      <xdr:row>120</xdr:row>
      <xdr:rowOff>0</xdr:rowOff>
    </xdr:to>
    <xdr:sp macro="" textlink="">
      <xdr:nvSpPr>
        <xdr:cNvPr id="1042" name="Picture 18" hidden="1">
          <a:extLst>
            <a:ext uri="{63B3BB69-23CF-44E3-9099-C40C66FF867C}">
              <a14:compatExt xmlns:a14="http://schemas.microsoft.com/office/drawing/2010/main" spid="_x0000_s1042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38100</xdr:colOff>
      <xdr:row>2</xdr:row>
      <xdr:rowOff>261736</xdr:rowOff>
    </xdr:from>
    <xdr:to>
      <xdr:col>2</xdr:col>
      <xdr:colOff>723900</xdr:colOff>
      <xdr:row>8</xdr:row>
      <xdr:rowOff>152400</xdr:rowOff>
    </xdr:to>
    <xdr:pic>
      <xdr:nvPicPr>
        <xdr:cNvPr id="1071" name="Picture 19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04636"/>
          <a:ext cx="1000125" cy="98603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1</xdr:col>
      <xdr:colOff>9525</xdr:colOff>
      <xdr:row>89</xdr:row>
      <xdr:rowOff>28575</xdr:rowOff>
    </xdr:from>
    <xdr:to>
      <xdr:col>5</xdr:col>
      <xdr:colOff>114300</xdr:colOff>
      <xdr:row>98</xdr:row>
      <xdr:rowOff>28575</xdr:rowOff>
    </xdr:to>
    <xdr:pic>
      <xdr:nvPicPr>
        <xdr:cNvPr id="2" name="Picture 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2353925"/>
          <a:ext cx="2676525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5</xdr:col>
      <xdr:colOff>152400</xdr:colOff>
      <xdr:row>89</xdr:row>
      <xdr:rowOff>28575</xdr:rowOff>
    </xdr:from>
    <xdr:to>
      <xdr:col>8</xdr:col>
      <xdr:colOff>571500</xdr:colOff>
      <xdr:row>98</xdr:row>
      <xdr:rowOff>28575</xdr:rowOff>
    </xdr:to>
    <xdr:pic>
      <xdr:nvPicPr>
        <xdr:cNvPr id="3" name="Picture 1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12353925"/>
          <a:ext cx="2676525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100</xdr:row>
      <xdr:rowOff>0</xdr:rowOff>
    </xdr:from>
    <xdr:to>
      <xdr:col>5</xdr:col>
      <xdr:colOff>95250</xdr:colOff>
      <xdr:row>109</xdr:row>
      <xdr:rowOff>0</xdr:rowOff>
    </xdr:to>
    <xdr:pic>
      <xdr:nvPicPr>
        <xdr:cNvPr id="4" name="Picture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14001750"/>
          <a:ext cx="2667000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5</xdr:col>
      <xdr:colOff>190500</xdr:colOff>
      <xdr:row>100</xdr:row>
      <xdr:rowOff>0</xdr:rowOff>
    </xdr:from>
    <xdr:to>
      <xdr:col>8</xdr:col>
      <xdr:colOff>609600</xdr:colOff>
      <xdr:row>109</xdr:row>
      <xdr:rowOff>0</xdr:rowOff>
    </xdr:to>
    <xdr:pic>
      <xdr:nvPicPr>
        <xdr:cNvPr id="5" name="Picture 1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4001750"/>
          <a:ext cx="2676525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5</xdr:col>
      <xdr:colOff>95250</xdr:colOff>
      <xdr:row>120</xdr:row>
      <xdr:rowOff>0</xdr:rowOff>
    </xdr:to>
    <xdr:pic>
      <xdr:nvPicPr>
        <xdr:cNvPr id="6" name="Picture 1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15678150"/>
          <a:ext cx="2667000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47625</xdr:rowOff>
        </xdr:from>
        <xdr:to>
          <xdr:col>2</xdr:col>
          <xdr:colOff>914400</xdr:colOff>
          <xdr:row>7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2</xdr:row>
          <xdr:rowOff>38100</xdr:rowOff>
        </xdr:from>
        <xdr:to>
          <xdr:col>6</xdr:col>
          <xdr:colOff>66675</xdr:colOff>
          <xdr:row>2</xdr:row>
          <xdr:rowOff>219075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Machines Like #1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2</xdr:row>
          <xdr:rowOff>295275</xdr:rowOff>
        </xdr:from>
        <xdr:to>
          <xdr:col>6</xdr:col>
          <xdr:colOff>66675</xdr:colOff>
          <xdr:row>3</xdr:row>
          <xdr:rowOff>161925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Storage Areas Like #1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</xdr:row>
          <xdr:rowOff>28575</xdr:rowOff>
        </xdr:from>
        <xdr:to>
          <xdr:col>3</xdr:col>
          <xdr:colOff>438150</xdr:colOff>
          <xdr:row>3</xdr:row>
          <xdr:rowOff>304800</xdr:rowOff>
        </xdr:to>
        <xdr:sp macro="" textlink="">
          <xdr:nvSpPr>
            <xdr:cNvPr id="2125" name="ChangeNumberSpinner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6</xdr:row>
          <xdr:rowOff>47625</xdr:rowOff>
        </xdr:from>
        <xdr:to>
          <xdr:col>3</xdr:col>
          <xdr:colOff>914400</xdr:colOff>
          <xdr:row>7</xdr:row>
          <xdr:rowOff>0</xdr:rowOff>
        </xdr:to>
        <xdr:sp macro="" textlink="">
          <xdr:nvSpPr>
            <xdr:cNvPr id="2126" name="Drop Dow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2</xdr:row>
          <xdr:rowOff>66675</xdr:rowOff>
        </xdr:from>
        <xdr:to>
          <xdr:col>3</xdr:col>
          <xdr:colOff>542925</xdr:colOff>
          <xdr:row>2</xdr:row>
          <xdr:rowOff>285750</xdr:rowOff>
        </xdr:to>
        <xdr:sp macro="" textlink="">
          <xdr:nvSpPr>
            <xdr:cNvPr id="2140" name="NeverFailBox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0</xdr:row>
          <xdr:rowOff>47625</xdr:rowOff>
        </xdr:from>
        <xdr:to>
          <xdr:col>6</xdr:col>
          <xdr:colOff>657225</xdr:colOff>
          <xdr:row>0</xdr:row>
          <xdr:rowOff>228600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</xdr:row>
          <xdr:rowOff>47625</xdr:rowOff>
        </xdr:from>
        <xdr:to>
          <xdr:col>4</xdr:col>
          <xdr:colOff>914400</xdr:colOff>
          <xdr:row>7</xdr:row>
          <xdr:rowOff>0</xdr:rowOff>
        </xdr:to>
        <xdr:sp macro="" textlink="">
          <xdr:nvSpPr>
            <xdr:cNvPr id="2148" name="Drop Dow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47625</xdr:rowOff>
        </xdr:from>
        <xdr:to>
          <xdr:col>5</xdr:col>
          <xdr:colOff>914400</xdr:colOff>
          <xdr:row>7</xdr:row>
          <xdr:rowOff>0</xdr:rowOff>
        </xdr:to>
        <xdr:sp macro="" textlink="">
          <xdr:nvSpPr>
            <xdr:cNvPr id="2149" name="Drop Dow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</xdr:row>
          <xdr:rowOff>47625</xdr:rowOff>
        </xdr:from>
        <xdr:to>
          <xdr:col>2</xdr:col>
          <xdr:colOff>695325</xdr:colOff>
          <xdr:row>4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New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4</xdr:row>
          <xdr:rowOff>142875</xdr:rowOff>
        </xdr:from>
        <xdr:to>
          <xdr:col>2</xdr:col>
          <xdr:colOff>676275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More Repetitions of This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171450</xdr:rowOff>
        </xdr:from>
        <xdr:to>
          <xdr:col>6</xdr:col>
          <xdr:colOff>266700</xdr:colOff>
          <xdr:row>7</xdr:row>
          <xdr:rowOff>38100</xdr:rowOff>
        </xdr:to>
        <xdr:sp macro="" textlink="">
          <xdr:nvSpPr>
            <xdr:cNvPr id="3077" name="ChangeSpeedSpinner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4</xdr:row>
          <xdr:rowOff>171450</xdr:rowOff>
        </xdr:from>
        <xdr:to>
          <xdr:col>5</xdr:col>
          <xdr:colOff>581025</xdr:colOff>
          <xdr:row>6</xdr:row>
          <xdr:rowOff>9525</xdr:rowOff>
        </xdr:to>
        <xdr:sp macro="" textlink="">
          <xdr:nvSpPr>
            <xdr:cNvPr id="3081" name="AnimationBox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0</xdr:row>
          <xdr:rowOff>47625</xdr:rowOff>
        </xdr:from>
        <xdr:to>
          <xdr:col>8</xdr:col>
          <xdr:colOff>542925</xdr:colOff>
          <xdr:row>0</xdr:row>
          <xdr:rowOff>228600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</xdr:row>
          <xdr:rowOff>9525</xdr:rowOff>
        </xdr:from>
        <xdr:to>
          <xdr:col>1</xdr:col>
          <xdr:colOff>809625</xdr:colOff>
          <xdr:row>5</xdr:row>
          <xdr:rowOff>123825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More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</xdr:row>
          <xdr:rowOff>9525</xdr:rowOff>
        </xdr:from>
        <xdr:to>
          <xdr:col>0</xdr:col>
          <xdr:colOff>828675</xdr:colOff>
          <xdr:row>4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More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142875</xdr:colOff>
      <xdr:row>17</xdr:row>
      <xdr:rowOff>152400</xdr:rowOff>
    </xdr:to>
    <xdr:graphicFrame macro="">
      <xdr:nvGraphicFramePr>
        <xdr:cNvPr id="6201" name="InvGraph">
          <a:extLst>
            <a:ext uri="{FF2B5EF4-FFF2-40B4-BE49-F238E27FC236}">
              <a16:creationId xmlns:a16="http://schemas.microsoft.com/office/drawing/2014/main" id="{00000000-0008-0000-0700-000039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142875</xdr:colOff>
      <xdr:row>0</xdr:row>
      <xdr:rowOff>0</xdr:rowOff>
    </xdr:from>
    <xdr:to>
      <xdr:col>10</xdr:col>
      <xdr:colOff>257175</xdr:colOff>
      <xdr:row>17</xdr:row>
      <xdr:rowOff>152400</xdr:rowOff>
    </xdr:to>
    <xdr:graphicFrame macro="">
      <xdr:nvGraphicFramePr>
        <xdr:cNvPr id="6202" name="UtilizGraph">
          <a:extLst>
            <a:ext uri="{FF2B5EF4-FFF2-40B4-BE49-F238E27FC236}">
              <a16:creationId xmlns:a16="http://schemas.microsoft.com/office/drawing/2014/main" id="{00000000-0008-0000-0700-00003A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0.09748</cdr:x>
      <cdr:y>0.02416</cdr:y>
    </cdr:from>
    <cdr:to>
      <cdr:x>0.70338</cdr:x>
      <cdr:y>0.10099</cdr:y>
    </cdr:to>
    <cdr:sp macro="" textlink="">
      <cdr:nvSpPr>
        <cdr:cNvPr id="7169" name="Text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1752" y="70188"/>
          <a:ext cx="1875643" cy="2232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/>
          <a:ext uri="{91240B29-F687-4f45-9708-019B960494DF}"/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Average Buffer Inventory</a:t>
          </a:r>
        </a:p>
      </cdr:txBody>
    </cdr:sp>
  </cdr:relSizeAnchor>
  <cdr:relSizeAnchor xmlns:cdr="http://schemas.openxmlformats.org/drawingml/2006/chartDrawing">
    <cdr:from>
      <cdr:x>0.36533</cdr:x>
      <cdr:y>0.92157</cdr:y>
    </cdr:from>
    <cdr:to>
      <cdr:x>0.61207</cdr:x>
      <cdr:y>0.98505</cdr:y>
    </cdr:to>
    <cdr:sp macro="" textlink="">
      <cdr:nvSpPr>
        <cdr:cNvPr id="7170" name="Text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30936" y="2677287"/>
          <a:ext cx="763800" cy="184409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/>
        </a:extLst>
      </cdr:spPr>
      <cdr:txBody>
        <a:bodyPr xmlns:a="http://schemas.openxmlformats.org/drawingml/2006/main" wrap="none" lIns="18288" tIns="18288" rIns="18288" bIns="18288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Run Number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0.02278</cdr:x>
      <cdr:y>0.0203</cdr:y>
    </cdr:from>
    <cdr:to>
      <cdr:x>0.70122</cdr:x>
      <cdr:y>0.09713</cdr:y>
    </cdr:to>
    <cdr:sp macro="" textlink="">
      <cdr:nvSpPr>
        <cdr:cNvPr id="8193" name="Text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9855" y="58982"/>
          <a:ext cx="2080827" cy="2232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/>
          <a:ext uri="{91240B29-F687-4f45-9708-019B960494DF}"/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Average Machine Utilization</a:t>
          </a:r>
        </a:p>
      </cdr:txBody>
    </cdr:sp>
  </cdr:relSizeAnchor>
  <cdr:relSizeAnchor xmlns:cdr="http://schemas.openxmlformats.org/drawingml/2006/chartDrawing">
    <cdr:from>
      <cdr:x>0.36178</cdr:x>
      <cdr:y>0.92061</cdr:y>
    </cdr:from>
    <cdr:to>
      <cdr:x>0.61081</cdr:x>
      <cdr:y>0.98408</cdr:y>
    </cdr:to>
    <cdr:sp macro="" textlink="">
      <cdr:nvSpPr>
        <cdr:cNvPr id="8194" name="Text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09597" y="2674480"/>
          <a:ext cx="763800" cy="184409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/>
        </a:extLst>
      </cdr:spPr>
      <cdr:txBody>
        <a:bodyPr xmlns:a="http://schemas.openxmlformats.org/drawingml/2006/main" wrap="none" lIns="18288" tIns="18288" rIns="18288" bIns="18288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Run Number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147"/>
  <sheetViews>
    <sheetView showGridLines="0" showRowColHeaders="0" workbookViewId="0">
      <selection activeCell="E15" sqref="E15"/>
    </sheetView>
  </sheetViews>
  <sheetFormatPr defaultColWidth="11.28515625" defaultRowHeight="12.75" x14ac:dyDescent="0.2"/>
  <cols>
    <col min="1" max="1" width="1.42578125" customWidth="1"/>
    <col min="2" max="2" width="4.7109375" customWidth="1"/>
    <col min="3" max="9" width="11.28515625" customWidth="1"/>
    <col min="10" max="10" width="20.140625" customWidth="1"/>
  </cols>
  <sheetData>
    <row r="1" spans="2:9" ht="24" customHeight="1" thickBot="1" x14ac:dyDescent="0.3">
      <c r="B1" s="208" t="s">
        <v>0</v>
      </c>
      <c r="C1" s="165"/>
      <c r="D1" s="166"/>
      <c r="E1" s="166"/>
      <c r="F1" s="166"/>
      <c r="G1" s="166"/>
      <c r="H1" s="166"/>
      <c r="I1" s="167"/>
    </row>
    <row r="2" spans="2:9" s="43" customFormat="1" ht="3.6" customHeight="1" x14ac:dyDescent="0.25">
      <c r="B2" s="153"/>
      <c r="C2" s="153"/>
      <c r="D2" s="154"/>
      <c r="E2" s="154"/>
      <c r="F2" s="154"/>
      <c r="G2" s="154"/>
      <c r="H2" s="154"/>
      <c r="I2" s="182"/>
    </row>
    <row r="3" spans="2:9" s="43" customFormat="1" ht="22.5" customHeight="1" x14ac:dyDescent="0.2">
      <c r="B3" s="209" t="s">
        <v>155</v>
      </c>
      <c r="C3" s="44"/>
      <c r="D3" s="44"/>
      <c r="E3" s="44"/>
      <c r="F3" s="44"/>
      <c r="G3" s="44"/>
      <c r="H3" s="44"/>
      <c r="I3" s="45"/>
    </row>
    <row r="4" spans="2:9" x14ac:dyDescent="0.2">
      <c r="B4" s="46" t="s">
        <v>1</v>
      </c>
      <c r="C4" s="47"/>
      <c r="D4" s="47"/>
      <c r="E4" s="47"/>
      <c r="F4" s="47"/>
      <c r="G4" s="47"/>
      <c r="H4" s="47"/>
      <c r="I4" s="48"/>
    </row>
    <row r="5" spans="2:9" x14ac:dyDescent="0.2">
      <c r="B5" s="46"/>
      <c r="C5" s="47"/>
      <c r="D5" s="47"/>
      <c r="E5" s="47"/>
      <c r="F5" s="47"/>
      <c r="G5" s="47"/>
      <c r="H5" s="47"/>
      <c r="I5" s="48"/>
    </row>
    <row r="6" spans="2:9" x14ac:dyDescent="0.2">
      <c r="B6" s="46"/>
      <c r="C6" s="47"/>
      <c r="D6" s="47"/>
      <c r="E6" s="47"/>
      <c r="F6" s="47"/>
      <c r="G6" s="47"/>
      <c r="H6" s="47"/>
      <c r="I6" s="48"/>
    </row>
    <row r="7" spans="2:9" x14ac:dyDescent="0.2">
      <c r="B7" s="46"/>
      <c r="C7" s="47"/>
      <c r="D7" s="47"/>
      <c r="E7" s="47"/>
      <c r="F7" s="47"/>
      <c r="G7" s="47"/>
      <c r="H7" s="47"/>
      <c r="I7" s="48"/>
    </row>
    <row r="8" spans="2:9" x14ac:dyDescent="0.2">
      <c r="B8" s="46" t="s">
        <v>2</v>
      </c>
      <c r="C8" s="47"/>
      <c r="D8" s="47"/>
      <c r="E8" s="47"/>
      <c r="F8" s="47"/>
      <c r="G8" s="47"/>
      <c r="H8" s="47"/>
      <c r="I8" s="48"/>
    </row>
    <row r="9" spans="2:9" x14ac:dyDescent="0.2">
      <c r="B9" s="49" t="s">
        <v>3</v>
      </c>
      <c r="C9" s="50"/>
      <c r="D9" s="50"/>
      <c r="E9" s="50"/>
      <c r="F9" s="50"/>
      <c r="G9" s="50"/>
      <c r="H9" s="50"/>
      <c r="I9" s="51"/>
    </row>
    <row r="10" spans="2:9" ht="5.25" customHeight="1" x14ac:dyDescent="0.2"/>
    <row r="11" spans="2:9" x14ac:dyDescent="0.2">
      <c r="B11" s="210" t="s">
        <v>157</v>
      </c>
    </row>
    <row r="12" spans="2:9" x14ac:dyDescent="0.2">
      <c r="B12" s="210" t="s">
        <v>156</v>
      </c>
    </row>
    <row r="17" spans="2:8" ht="4.5" customHeight="1" x14ac:dyDescent="0.2"/>
    <row r="18" spans="2:8" x14ac:dyDescent="0.2">
      <c r="B18" t="s">
        <v>4</v>
      </c>
    </row>
    <row r="19" spans="2:8" x14ac:dyDescent="0.2">
      <c r="B19" t="s">
        <v>5</v>
      </c>
    </row>
    <row r="20" spans="2:8" x14ac:dyDescent="0.2">
      <c r="B20" t="s">
        <v>6</v>
      </c>
    </row>
    <row r="21" spans="2:8" x14ac:dyDescent="0.2">
      <c r="B21" t="s">
        <v>7</v>
      </c>
    </row>
    <row r="22" spans="2:8" x14ac:dyDescent="0.2">
      <c r="B22" t="s">
        <v>8</v>
      </c>
    </row>
    <row r="23" spans="2:8" ht="5.25" customHeight="1" x14ac:dyDescent="0.2"/>
    <row r="24" spans="2:8" x14ac:dyDescent="0.2">
      <c r="B24" s="27" t="s">
        <v>9</v>
      </c>
    </row>
    <row r="25" spans="2:8" x14ac:dyDescent="0.2">
      <c r="B25" t="s">
        <v>10</v>
      </c>
    </row>
    <row r="26" spans="2:8" ht="4.5" customHeight="1" x14ac:dyDescent="0.2"/>
    <row r="27" spans="2:8" x14ac:dyDescent="0.2">
      <c r="B27" t="s">
        <v>11</v>
      </c>
    </row>
    <row r="30" spans="2:8" x14ac:dyDescent="0.2">
      <c r="B30" s="126" t="s">
        <v>12</v>
      </c>
    </row>
    <row r="32" spans="2:8" s="43" customFormat="1" ht="15.75" x14ac:dyDescent="0.25">
      <c r="B32" s="60" t="s">
        <v>13</v>
      </c>
      <c r="C32" s="61"/>
      <c r="D32" s="61"/>
      <c r="E32" s="61"/>
      <c r="F32" s="61"/>
      <c r="G32" s="61"/>
      <c r="H32" s="62"/>
    </row>
    <row r="33" spans="2:8" x14ac:dyDescent="0.2">
      <c r="B33" s="63" t="s">
        <v>14</v>
      </c>
      <c r="C33" s="59"/>
      <c r="D33" s="59"/>
      <c r="E33" s="59"/>
      <c r="F33" s="59"/>
      <c r="G33" s="59"/>
      <c r="H33" s="64"/>
    </row>
    <row r="34" spans="2:8" x14ac:dyDescent="0.2">
      <c r="B34" s="63" t="s">
        <v>15</v>
      </c>
      <c r="C34" s="59"/>
      <c r="D34" s="59"/>
      <c r="E34" s="59"/>
      <c r="F34" s="59"/>
      <c r="G34" s="59"/>
      <c r="H34" s="64"/>
    </row>
    <row r="35" spans="2:8" x14ac:dyDescent="0.2">
      <c r="B35" s="63" t="s">
        <v>16</v>
      </c>
      <c r="C35" s="59"/>
      <c r="D35" s="59"/>
      <c r="E35" s="59"/>
      <c r="F35" s="59"/>
      <c r="G35" s="59"/>
      <c r="H35" s="64"/>
    </row>
    <row r="36" spans="2:8" x14ac:dyDescent="0.2">
      <c r="B36" s="65" t="s">
        <v>17</v>
      </c>
      <c r="C36" s="66"/>
      <c r="D36" s="66"/>
      <c r="E36" s="66"/>
      <c r="F36" s="66"/>
      <c r="G36" s="66"/>
      <c r="H36" s="67"/>
    </row>
    <row r="39" spans="2:8" s="52" customFormat="1" x14ac:dyDescent="0.2">
      <c r="B39" s="163" t="s">
        <v>18</v>
      </c>
      <c r="C39" s="53"/>
      <c r="D39" s="53"/>
      <c r="E39" s="53"/>
      <c r="F39" s="53"/>
      <c r="G39" s="53"/>
      <c r="H39" s="54"/>
    </row>
    <row r="40" spans="2:8" ht="6" customHeight="1" x14ac:dyDescent="0.2"/>
    <row r="41" spans="2:8" x14ac:dyDescent="0.2">
      <c r="B41" t="s">
        <v>19</v>
      </c>
    </row>
    <row r="42" spans="2:8" x14ac:dyDescent="0.2">
      <c r="B42" t="s">
        <v>20</v>
      </c>
    </row>
    <row r="43" spans="2:8" ht="3.75" customHeight="1" x14ac:dyDescent="0.2"/>
    <row r="44" spans="2:8" x14ac:dyDescent="0.2">
      <c r="B44" t="s">
        <v>21</v>
      </c>
    </row>
    <row r="45" spans="2:8" ht="3.75" customHeight="1" x14ac:dyDescent="0.2"/>
    <row r="46" spans="2:8" x14ac:dyDescent="0.2">
      <c r="B46" t="s">
        <v>22</v>
      </c>
    </row>
    <row r="47" spans="2:8" ht="3.75" customHeight="1" x14ac:dyDescent="0.2"/>
    <row r="48" spans="2:8" x14ac:dyDescent="0.2">
      <c r="B48" t="s">
        <v>23</v>
      </c>
    </row>
    <row r="49" spans="2:10" x14ac:dyDescent="0.2">
      <c r="B49" t="s">
        <v>24</v>
      </c>
    </row>
    <row r="50" spans="2:10" ht="3.75" customHeight="1" x14ac:dyDescent="0.2"/>
    <row r="51" spans="2:10" x14ac:dyDescent="0.2">
      <c r="B51" t="s">
        <v>25</v>
      </c>
    </row>
    <row r="52" spans="2:10" ht="3.75" customHeight="1" x14ac:dyDescent="0.2"/>
    <row r="53" spans="2:10" x14ac:dyDescent="0.2">
      <c r="B53" t="s">
        <v>26</v>
      </c>
    </row>
    <row r="54" spans="2:10" x14ac:dyDescent="0.2">
      <c r="B54" t="s">
        <v>27</v>
      </c>
    </row>
    <row r="55" spans="2:10" ht="3.75" customHeight="1" x14ac:dyDescent="0.2"/>
    <row r="56" spans="2:10" x14ac:dyDescent="0.2">
      <c r="B56" t="s">
        <v>28</v>
      </c>
    </row>
    <row r="59" spans="2:10" s="52" customFormat="1" x14ac:dyDescent="0.2">
      <c r="B59" s="163" t="s">
        <v>29</v>
      </c>
      <c r="C59" s="53"/>
      <c r="D59" s="53"/>
      <c r="E59" s="53"/>
      <c r="F59" s="53"/>
      <c r="G59" s="53"/>
      <c r="H59" s="54"/>
    </row>
    <row r="61" spans="2:10" x14ac:dyDescent="0.2">
      <c r="B61" t="s">
        <v>30</v>
      </c>
    </row>
    <row r="62" spans="2:10" x14ac:dyDescent="0.2">
      <c r="B62" t="s">
        <v>31</v>
      </c>
      <c r="J62" t="s">
        <v>32</v>
      </c>
    </row>
    <row r="63" spans="2:10" ht="3.75" customHeight="1" x14ac:dyDescent="0.2"/>
    <row r="64" spans="2:10" x14ac:dyDescent="0.2">
      <c r="B64" t="s">
        <v>33</v>
      </c>
    </row>
    <row r="65" spans="2:5" ht="3.75" customHeight="1" x14ac:dyDescent="0.2"/>
    <row r="66" spans="2:5" x14ac:dyDescent="0.2">
      <c r="B66" t="s">
        <v>34</v>
      </c>
    </row>
    <row r="67" spans="2:5" ht="3.75" customHeight="1" x14ac:dyDescent="0.2"/>
    <row r="68" spans="2:5" x14ac:dyDescent="0.2">
      <c r="B68" t="s">
        <v>35</v>
      </c>
    </row>
    <row r="69" spans="2:5" x14ac:dyDescent="0.2">
      <c r="B69" t="s">
        <v>36</v>
      </c>
    </row>
    <row r="70" spans="2:5" ht="5.0999999999999996" customHeight="1" x14ac:dyDescent="0.2"/>
    <row r="71" spans="2:5" x14ac:dyDescent="0.2">
      <c r="C71" s="164" t="s">
        <v>37</v>
      </c>
      <c r="D71" s="56"/>
      <c r="E71" s="57"/>
    </row>
    <row r="72" spans="2:5" ht="3.75" customHeight="1" x14ac:dyDescent="0.2"/>
    <row r="73" spans="2:5" x14ac:dyDescent="0.2">
      <c r="B73" t="s">
        <v>38</v>
      </c>
    </row>
    <row r="74" spans="2:5" x14ac:dyDescent="0.2">
      <c r="B74" t="s">
        <v>39</v>
      </c>
    </row>
    <row r="75" spans="2:5" ht="5.0999999999999996" customHeight="1" x14ac:dyDescent="0.2"/>
    <row r="76" spans="2:5" x14ac:dyDescent="0.2">
      <c r="C76" s="164" t="s">
        <v>40</v>
      </c>
      <c r="D76" s="56"/>
      <c r="E76" s="57"/>
    </row>
    <row r="77" spans="2:5" ht="3.75" customHeight="1" x14ac:dyDescent="0.2"/>
    <row r="78" spans="2:5" x14ac:dyDescent="0.2">
      <c r="B78" t="s">
        <v>41</v>
      </c>
    </row>
    <row r="79" spans="2:5" x14ac:dyDescent="0.2">
      <c r="B79" t="s">
        <v>42</v>
      </c>
    </row>
    <row r="80" spans="2:5" x14ac:dyDescent="0.2">
      <c r="B80" t="s">
        <v>43</v>
      </c>
    </row>
    <row r="81" spans="2:9" ht="3.75" customHeight="1" x14ac:dyDescent="0.2"/>
    <row r="82" spans="2:9" x14ac:dyDescent="0.2">
      <c r="C82" t="s">
        <v>44</v>
      </c>
    </row>
    <row r="83" spans="2:9" ht="3.75" customHeight="1" x14ac:dyDescent="0.2"/>
    <row r="84" spans="2:9" x14ac:dyDescent="0.2">
      <c r="C84" t="s">
        <v>45</v>
      </c>
    </row>
    <row r="85" spans="2:9" x14ac:dyDescent="0.2">
      <c r="C85" t="s">
        <v>46</v>
      </c>
    </row>
    <row r="86" spans="2:9" x14ac:dyDescent="0.2">
      <c r="C86" t="s">
        <v>47</v>
      </c>
    </row>
    <row r="87" spans="2:9" x14ac:dyDescent="0.2">
      <c r="C87" t="s">
        <v>48</v>
      </c>
    </row>
    <row r="88" spans="2:9" ht="5.0999999999999996" customHeight="1" x14ac:dyDescent="0.2"/>
    <row r="89" spans="2:9" s="29" customFormat="1" x14ac:dyDescent="0.2">
      <c r="C89" s="29" t="s">
        <v>49</v>
      </c>
      <c r="F89" s="168" t="s">
        <v>50</v>
      </c>
      <c r="G89" s="169"/>
      <c r="H89" s="169"/>
      <c r="I89" s="168"/>
    </row>
    <row r="90" spans="2:9" x14ac:dyDescent="0.2">
      <c r="B90" t="s">
        <v>32</v>
      </c>
    </row>
    <row r="93" spans="2:9" x14ac:dyDescent="0.2">
      <c r="B93" t="s">
        <v>32</v>
      </c>
    </row>
    <row r="99" spans="2:8" ht="5.0999999999999996" customHeight="1" x14ac:dyDescent="0.2"/>
    <row r="100" spans="2:8" s="29" customFormat="1" x14ac:dyDescent="0.2">
      <c r="C100" s="29" t="s">
        <v>51</v>
      </c>
      <c r="G100" s="29" t="s">
        <v>52</v>
      </c>
      <c r="H100"/>
    </row>
    <row r="107" spans="2:8" x14ac:dyDescent="0.2">
      <c r="B107" t="s">
        <v>32</v>
      </c>
    </row>
    <row r="110" spans="2:8" ht="5.0999999999999996" customHeight="1" x14ac:dyDescent="0.2">
      <c r="B110" t="s">
        <v>32</v>
      </c>
    </row>
    <row r="111" spans="2:8" s="29" customFormat="1" x14ac:dyDescent="0.2">
      <c r="C111" s="29" t="s">
        <v>53</v>
      </c>
    </row>
    <row r="122" spans="3:3" ht="15.75" x14ac:dyDescent="0.25">
      <c r="C122" s="58" t="s">
        <v>54</v>
      </c>
    </row>
    <row r="123" spans="3:3" x14ac:dyDescent="0.2">
      <c r="C123" t="s">
        <v>55</v>
      </c>
    </row>
    <row r="124" spans="3:3" x14ac:dyDescent="0.2">
      <c r="C124" t="s">
        <v>56</v>
      </c>
    </row>
    <row r="126" spans="3:3" x14ac:dyDescent="0.2">
      <c r="C126" t="s">
        <v>57</v>
      </c>
    </row>
    <row r="127" spans="3:3" x14ac:dyDescent="0.2">
      <c r="C127" t="s">
        <v>58</v>
      </c>
    </row>
    <row r="128" spans="3:3" x14ac:dyDescent="0.2">
      <c r="C128" t="s">
        <v>59</v>
      </c>
    </row>
    <row r="130" spans="2:3" x14ac:dyDescent="0.2">
      <c r="C130" t="s">
        <v>60</v>
      </c>
    </row>
    <row r="131" spans="2:3" x14ac:dyDescent="0.2">
      <c r="C131" t="s">
        <v>61</v>
      </c>
    </row>
    <row r="132" spans="2:3" x14ac:dyDescent="0.2">
      <c r="C132" t="s">
        <v>62</v>
      </c>
    </row>
    <row r="134" spans="2:3" x14ac:dyDescent="0.2">
      <c r="C134" t="s">
        <v>63</v>
      </c>
    </row>
    <row r="135" spans="2:3" x14ac:dyDescent="0.2">
      <c r="C135" t="s">
        <v>64</v>
      </c>
    </row>
    <row r="136" spans="2:3" x14ac:dyDescent="0.2">
      <c r="C136" s="28" t="s">
        <v>65</v>
      </c>
    </row>
    <row r="137" spans="2:3" x14ac:dyDescent="0.2">
      <c r="C137" t="s">
        <v>66</v>
      </c>
    </row>
    <row r="138" spans="2:3" x14ac:dyDescent="0.2">
      <c r="C138" t="s">
        <v>67</v>
      </c>
    </row>
    <row r="139" spans="2:3" x14ac:dyDescent="0.2">
      <c r="C139" t="s">
        <v>68</v>
      </c>
    </row>
    <row r="141" spans="2:3" x14ac:dyDescent="0.2">
      <c r="B141" s="127" t="s">
        <v>69</v>
      </c>
    </row>
    <row r="142" spans="2:3" x14ac:dyDescent="0.2">
      <c r="C142" s="27" t="s">
        <v>70</v>
      </c>
    </row>
    <row r="143" spans="2:3" x14ac:dyDescent="0.2">
      <c r="C143" t="s">
        <v>71</v>
      </c>
    </row>
    <row r="144" spans="2:3" x14ac:dyDescent="0.2">
      <c r="C144" t="s">
        <v>72</v>
      </c>
    </row>
    <row r="145" spans="3:3" x14ac:dyDescent="0.2">
      <c r="C145" t="s">
        <v>73</v>
      </c>
    </row>
    <row r="147" spans="3:3" x14ac:dyDescent="0.2">
      <c r="C147" t="s">
        <v>74</v>
      </c>
    </row>
  </sheetData>
  <phoneticPr fontId="10" type="noConversion"/>
  <pageMargins left="0.75" right="0.75" top="1" bottom="1" header="0.5" footer="0.5"/>
  <pageSetup orientation="portrait"/>
  <headerFooter alignWithMargins="0">
    <oddHeader>&amp;A</oddHeader>
    <oddFooter>Page &amp;P</oddFooter>
  </headerFooter>
  <rowBreaks count="2" manualBreakCount="2">
    <brk id="58" max="65535" man="1"/>
    <brk id="110" max="65535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S51"/>
  <sheetViews>
    <sheetView showGridLines="0" showRowColHeaders="0" topLeftCell="B1" workbookViewId="0">
      <selection activeCell="F25" sqref="F25"/>
    </sheetView>
  </sheetViews>
  <sheetFormatPr defaultColWidth="14.140625" defaultRowHeight="15" x14ac:dyDescent="0.2"/>
  <cols>
    <col min="1" max="1" width="0.85546875" style="2" hidden="1" customWidth="1"/>
    <col min="2" max="2" width="9.42578125" style="86" customWidth="1"/>
    <col min="3" max="16384" width="14.140625" style="86"/>
  </cols>
  <sheetData>
    <row r="1" spans="1:71" s="138" customFormat="1" ht="22.5" customHeight="1" thickBot="1" x14ac:dyDescent="0.3">
      <c r="A1" s="2">
        <v>14</v>
      </c>
      <c r="B1" s="159"/>
      <c r="C1" s="139" t="s">
        <v>75</v>
      </c>
      <c r="D1" s="139"/>
      <c r="E1" s="140"/>
      <c r="F1" s="140"/>
      <c r="G1" s="141"/>
      <c r="H1" s="141"/>
      <c r="I1" s="142"/>
      <c r="J1" s="142"/>
    </row>
    <row r="2" spans="1:71" s="151" customFormat="1" ht="3.75" customHeight="1" x14ac:dyDescent="0.25">
      <c r="A2" s="2"/>
      <c r="B2" s="152"/>
      <c r="C2" s="153"/>
      <c r="D2" s="153"/>
      <c r="E2" s="154"/>
      <c r="F2" s="154"/>
      <c r="G2" s="155"/>
      <c r="H2" s="155"/>
      <c r="I2" s="156"/>
      <c r="J2" s="156"/>
    </row>
    <row r="3" spans="1:71" s="136" customFormat="1" ht="24.75" customHeight="1" x14ac:dyDescent="0.2">
      <c r="A3" s="2"/>
      <c r="B3" s="157"/>
      <c r="C3" s="150" t="s">
        <v>76</v>
      </c>
      <c r="D3" s="158"/>
      <c r="E3" s="137"/>
      <c r="F3" s="137"/>
      <c r="G3" s="137"/>
      <c r="H3" s="137"/>
      <c r="I3" s="42"/>
      <c r="J3" s="42"/>
    </row>
    <row r="4" spans="1:71" ht="25.5" customHeight="1" x14ac:dyDescent="0.2">
      <c r="B4" s="147"/>
      <c r="C4" s="148" t="s">
        <v>77</v>
      </c>
      <c r="D4" s="149">
        <v>4</v>
      </c>
      <c r="E4" s="2"/>
      <c r="F4" s="2"/>
      <c r="G4" s="2"/>
      <c r="H4" s="2"/>
    </row>
    <row r="5" spans="1:71" s="88" customFormat="1" ht="21" customHeight="1" x14ac:dyDescent="0.25">
      <c r="A5" s="2"/>
      <c r="B5" s="89" t="s">
        <v>78</v>
      </c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</row>
    <row r="6" spans="1:71" s="92" customFormat="1" ht="13.5" customHeight="1" x14ac:dyDescent="0.25">
      <c r="A6" s="2"/>
      <c r="B6" s="180" t="s">
        <v>79</v>
      </c>
      <c r="C6" s="176" t="s">
        <v>148</v>
      </c>
      <c r="D6" s="176" t="s">
        <v>149</v>
      </c>
      <c r="E6" s="176" t="s">
        <v>153</v>
      </c>
      <c r="F6" s="176" t="s">
        <v>150</v>
      </c>
      <c r="G6" s="2"/>
      <c r="H6" s="2"/>
      <c r="I6" s="2"/>
      <c r="J6" s="2"/>
      <c r="K6" s="2"/>
      <c r="L6" s="2"/>
      <c r="M6" s="2"/>
      <c r="N6" s="2"/>
      <c r="O6" s="186"/>
    </row>
    <row r="7" spans="1:71" s="94" customFormat="1" ht="21" customHeight="1" x14ac:dyDescent="0.2">
      <c r="A7" s="2"/>
      <c r="B7" s="180" t="s">
        <v>80</v>
      </c>
      <c r="C7" s="177">
        <v>2</v>
      </c>
      <c r="D7" s="177">
        <v>2</v>
      </c>
      <c r="E7" s="177">
        <v>2</v>
      </c>
      <c r="F7" s="177">
        <v>2</v>
      </c>
      <c r="G7" s="2"/>
      <c r="H7" s="2"/>
      <c r="I7" s="2"/>
      <c r="J7" s="2"/>
      <c r="K7" s="2"/>
      <c r="L7" s="2"/>
      <c r="M7" s="2"/>
      <c r="N7" s="2"/>
      <c r="O7" s="187"/>
    </row>
    <row r="8" spans="1:71" s="94" customFormat="1" ht="15.75" x14ac:dyDescent="0.2">
      <c r="A8" s="2"/>
      <c r="B8" s="181" t="s">
        <v>81</v>
      </c>
      <c r="C8" s="177">
        <v>10</v>
      </c>
      <c r="D8" s="177">
        <v>10</v>
      </c>
      <c r="E8" s="177">
        <v>10</v>
      </c>
      <c r="F8" s="177">
        <v>10</v>
      </c>
      <c r="G8" s="2"/>
      <c r="H8" s="2"/>
      <c r="I8" s="2"/>
      <c r="J8" s="2"/>
      <c r="K8" s="2"/>
      <c r="L8" s="2"/>
      <c r="M8" s="2"/>
      <c r="N8" s="2"/>
      <c r="O8" s="187"/>
    </row>
    <row r="9" spans="1:71" s="94" customFormat="1" ht="15.75" x14ac:dyDescent="0.2">
      <c r="A9" s="2"/>
      <c r="B9" s="181" t="s">
        <v>82</v>
      </c>
      <c r="C9" s="173">
        <v>4</v>
      </c>
      <c r="D9" s="173">
        <v>4</v>
      </c>
      <c r="E9" s="173">
        <v>4</v>
      </c>
      <c r="F9" s="173">
        <v>4</v>
      </c>
      <c r="G9" s="2"/>
      <c r="H9" s="2"/>
      <c r="I9" s="2"/>
      <c r="J9" s="2"/>
      <c r="K9" s="2"/>
      <c r="L9" s="2"/>
      <c r="M9" s="2"/>
      <c r="N9" s="2"/>
      <c r="O9" s="187"/>
    </row>
    <row r="10" spans="1:71" s="83" customFormat="1" ht="18" hidden="1" customHeight="1" x14ac:dyDescent="0.2">
      <c r="A10" s="2"/>
      <c r="B10" s="95" t="s">
        <v>83</v>
      </c>
      <c r="C10" s="96"/>
      <c r="D10" s="96"/>
      <c r="E10" s="96"/>
      <c r="F10" s="96"/>
      <c r="G10" s="2"/>
      <c r="H10" s="2"/>
      <c r="I10" s="2"/>
      <c r="J10" s="2"/>
      <c r="K10" s="2"/>
      <c r="L10" s="2"/>
      <c r="M10" s="2"/>
      <c r="N10" s="2"/>
      <c r="O10" s="97"/>
    </row>
    <row r="11" spans="1:71" s="79" customFormat="1" ht="15.75" hidden="1" x14ac:dyDescent="0.25">
      <c r="A11" s="2"/>
      <c r="B11" s="175" t="s">
        <v>81</v>
      </c>
      <c r="C11" s="174">
        <v>1</v>
      </c>
      <c r="D11" s="174">
        <v>1</v>
      </c>
      <c r="E11" s="174">
        <v>1</v>
      </c>
      <c r="F11" s="174">
        <v>1</v>
      </c>
      <c r="G11" s="2"/>
      <c r="H11" s="2"/>
      <c r="I11" s="2"/>
      <c r="J11" s="2"/>
      <c r="K11" s="2"/>
      <c r="L11" s="2"/>
      <c r="M11" s="2"/>
      <c r="N11" s="2"/>
      <c r="O11" s="77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</row>
    <row r="12" spans="1:71" s="79" customFormat="1" ht="15.75" hidden="1" x14ac:dyDescent="0.25">
      <c r="A12" s="2"/>
      <c r="B12" s="175" t="s">
        <v>82</v>
      </c>
      <c r="C12" s="173">
        <v>0</v>
      </c>
      <c r="D12" s="173">
        <v>0</v>
      </c>
      <c r="E12" s="173">
        <v>0</v>
      </c>
      <c r="F12" s="173">
        <v>0</v>
      </c>
      <c r="G12" s="2"/>
      <c r="H12" s="2"/>
      <c r="I12" s="2"/>
      <c r="J12" s="2"/>
      <c r="K12" s="2"/>
      <c r="L12" s="2"/>
      <c r="M12" s="2"/>
      <c r="N12" s="2"/>
      <c r="O12" s="77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</row>
    <row r="13" spans="1:71" s="83" customFormat="1" ht="17.25" hidden="1" customHeight="1" x14ac:dyDescent="0.2">
      <c r="A13" s="2"/>
      <c r="B13" s="98" t="s">
        <v>84</v>
      </c>
      <c r="C13" s="80"/>
      <c r="D13" s="80"/>
      <c r="E13" s="80"/>
      <c r="F13" s="80"/>
      <c r="G13" s="2"/>
      <c r="H13" s="2"/>
      <c r="I13" s="2"/>
      <c r="J13" s="2"/>
      <c r="K13" s="2"/>
      <c r="L13" s="2"/>
      <c r="M13" s="2"/>
      <c r="N13" s="2"/>
      <c r="O13" s="81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</row>
    <row r="14" spans="1:71" s="79" customFormat="1" ht="15.75" hidden="1" x14ac:dyDescent="0.25">
      <c r="A14" s="2"/>
      <c r="B14" s="175" t="s">
        <v>81</v>
      </c>
      <c r="C14" s="174">
        <v>1</v>
      </c>
      <c r="D14" s="174">
        <v>1</v>
      </c>
      <c r="E14" s="174">
        <v>1</v>
      </c>
      <c r="F14" s="174">
        <v>1</v>
      </c>
      <c r="G14" s="2"/>
      <c r="H14" s="2"/>
      <c r="I14" s="2"/>
      <c r="J14" s="2"/>
      <c r="K14" s="2"/>
      <c r="L14" s="2"/>
      <c r="M14" s="2"/>
      <c r="N14" s="2"/>
      <c r="O14" s="77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</row>
    <row r="15" spans="1:71" ht="15.75" hidden="1" x14ac:dyDescent="0.25">
      <c r="B15" s="175" t="s">
        <v>82</v>
      </c>
      <c r="C15" s="173">
        <v>0</v>
      </c>
      <c r="D15" s="173">
        <v>0</v>
      </c>
      <c r="E15" s="173">
        <v>0</v>
      </c>
      <c r="F15" s="173">
        <v>0</v>
      </c>
      <c r="G15" s="2"/>
      <c r="H15" s="2"/>
      <c r="I15" s="2"/>
      <c r="J15" s="2"/>
      <c r="K15" s="2"/>
      <c r="L15" s="2"/>
      <c r="M15" s="2"/>
      <c r="N15" s="2"/>
      <c r="O15" s="84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</row>
    <row r="16" spans="1:71" s="99" customFormat="1" ht="22.5" customHeight="1" x14ac:dyDescent="0.25">
      <c r="A16" s="2"/>
      <c r="B16" s="89" t="s">
        <v>85</v>
      </c>
      <c r="C16" s="55"/>
      <c r="D16" s="55"/>
      <c r="E16" s="55"/>
      <c r="F16" s="55"/>
      <c r="G16" s="2"/>
      <c r="H16" s="2"/>
      <c r="I16" s="2"/>
      <c r="J16" s="2"/>
      <c r="K16" s="2"/>
      <c r="L16" s="2"/>
      <c r="M16" s="2"/>
      <c r="N16" s="2"/>
      <c r="O16" s="188"/>
    </row>
    <row r="17" spans="2:15" ht="12.95" customHeight="1" x14ac:dyDescent="0.25">
      <c r="B17" s="178"/>
      <c r="C17" s="179" t="s">
        <v>151</v>
      </c>
      <c r="D17" s="179" t="s">
        <v>152</v>
      </c>
      <c r="E17" s="179" t="s">
        <v>154</v>
      </c>
      <c r="F17" s="2"/>
      <c r="G17" s="2"/>
      <c r="H17" s="2"/>
      <c r="I17" s="2"/>
      <c r="J17" s="2"/>
      <c r="K17" s="2"/>
      <c r="L17" s="2"/>
      <c r="M17" s="2"/>
      <c r="N17" s="2"/>
      <c r="O17" s="189"/>
    </row>
    <row r="18" spans="2:15" x14ac:dyDescent="0.2">
      <c r="B18" s="180" t="s">
        <v>86</v>
      </c>
      <c r="C18" s="173">
        <v>0</v>
      </c>
      <c r="D18" s="173">
        <v>0</v>
      </c>
      <c r="E18" s="173">
        <v>0</v>
      </c>
      <c r="F18" s="2"/>
      <c r="G18" s="2"/>
      <c r="H18" s="2"/>
      <c r="I18" s="2"/>
      <c r="J18" s="2"/>
      <c r="K18" s="2"/>
      <c r="L18" s="2"/>
      <c r="M18" s="2"/>
      <c r="N18" s="2"/>
      <c r="O18" s="189"/>
    </row>
    <row r="19" spans="2:15" x14ac:dyDescent="0.2"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</row>
    <row r="31" spans="2:15" x14ac:dyDescent="0.2"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</row>
    <row r="35" spans="1:15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5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91"/>
    </row>
    <row r="37" spans="1:15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93"/>
    </row>
    <row r="38" spans="1:15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5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5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91"/>
    </row>
    <row r="41" spans="1:15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93"/>
    </row>
    <row r="42" spans="1:15" s="102" customFormat="1" ht="15.75" x14ac:dyDescent="0.25">
      <c r="A42" s="2"/>
      <c r="B42" s="101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</row>
    <row r="43" spans="1:15" s="102" customFormat="1" ht="15.75" x14ac:dyDescent="0.25">
      <c r="A43" s="2"/>
      <c r="B43" s="101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</row>
    <row r="44" spans="1:15" s="102" customFormat="1" ht="15.75" x14ac:dyDescent="0.25">
      <c r="A44" s="2"/>
      <c r="B44" s="101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</row>
    <row r="46" spans="1:15" x14ac:dyDescent="0.2">
      <c r="B46" s="2"/>
    </row>
    <row r="47" spans="1:15" x14ac:dyDescent="0.2">
      <c r="B47" s="2"/>
    </row>
    <row r="48" spans="1:15" x14ac:dyDescent="0.2">
      <c r="B48" s="2"/>
    </row>
    <row r="49" spans="2:2" x14ac:dyDescent="0.2">
      <c r="B49" s="2"/>
    </row>
    <row r="50" spans="2:2" x14ac:dyDescent="0.2">
      <c r="B50" s="2"/>
    </row>
    <row r="51" spans="2:2" x14ac:dyDescent="0.2">
      <c r="B51" s="2"/>
    </row>
  </sheetData>
  <phoneticPr fontId="10" type="noConversion"/>
  <pageMargins left="0.75" right="0.75" top="1" bottom="1" header="0.5" footer="0.5"/>
  <pageSetup orientation="portrait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Drop Down 7">
              <controlPr defaultSize="0" autoFill="0" autoLine="0" autoPict="0" macro="[0]!_xludf.ReStart">
                <anchor moveWithCells="1">
                  <from>
                    <xdr:col>2</xdr:col>
                    <xdr:colOff>28575</xdr:colOff>
                    <xdr:row>6</xdr:row>
                    <xdr:rowOff>47625</xdr:rowOff>
                  </from>
                  <to>
                    <xdr:col>2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4" name="Button 28">
              <controlPr defaultSize="0" autoFill="0" autoLine="0" autoPict="0" macro="[0]!identicalMachines">
                <anchor>
                  <from>
                    <xdr:col>4</xdr:col>
                    <xdr:colOff>142875</xdr:colOff>
                    <xdr:row>2</xdr:row>
                    <xdr:rowOff>38100</xdr:rowOff>
                  </from>
                  <to>
                    <xdr:col>6</xdr:col>
                    <xdr:colOff>66675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5" name="Button 76">
              <controlPr defaultSize="0" autoFill="0" autoLine="0" autoPict="0" macro="[0]!identicalStorage">
                <anchor>
                  <from>
                    <xdr:col>4</xdr:col>
                    <xdr:colOff>142875</xdr:colOff>
                    <xdr:row>2</xdr:row>
                    <xdr:rowOff>295275</xdr:rowOff>
                  </from>
                  <to>
                    <xdr:col>6</xdr:col>
                    <xdr:colOff>66675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" name="ChangeNumberSpinner">
              <controlPr defaultSize="0" autoFill="0" autoLine="0" autoPict="0" macro="[0]!_xludf.ReStart">
                <anchor moveWithCells="1">
                  <from>
                    <xdr:col>3</xdr:col>
                    <xdr:colOff>228600</xdr:colOff>
                    <xdr:row>3</xdr:row>
                    <xdr:rowOff>28575</xdr:rowOff>
                  </from>
                  <to>
                    <xdr:col>3</xdr:col>
                    <xdr:colOff>438150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" name="Drop Down 78">
              <controlPr defaultSize="0" autoFill="0" autoLine="0" autoPict="0" macro="[0]!_xludf.ReStart">
                <anchor moveWithCells="1">
                  <from>
                    <xdr:col>3</xdr:col>
                    <xdr:colOff>28575</xdr:colOff>
                    <xdr:row>6</xdr:row>
                    <xdr:rowOff>47625</xdr:rowOff>
                  </from>
                  <to>
                    <xdr:col>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8" name="NeverFailBox">
              <controlPr defaultSize="0" autoFill="0" autoLine="0" autoPict="0" macro="[0]!_xludf.ReStart">
                <anchor>
                  <from>
                    <xdr:col>3</xdr:col>
                    <xdr:colOff>19050</xdr:colOff>
                    <xdr:row>2</xdr:row>
                    <xdr:rowOff>66675</xdr:rowOff>
                  </from>
                  <to>
                    <xdr:col>3</xdr:col>
                    <xdr:colOff>542925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" name="Button 94">
              <controlPr defaultSize="0" print="0" autoFill="0" autoLine="0" autoPict="0" macro="[0]!gotoInstructions">
                <anchor moveWithCells="1" sizeWithCells="1">
                  <from>
                    <xdr:col>5</xdr:col>
                    <xdr:colOff>666750</xdr:colOff>
                    <xdr:row>0</xdr:row>
                    <xdr:rowOff>47625</xdr:rowOff>
                  </from>
                  <to>
                    <xdr:col>6</xdr:col>
                    <xdr:colOff>657225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" name="Drop Down 100">
              <controlPr defaultSize="0" autoFill="0" autoLine="0" autoPict="0" macro="[0]!_xludf.ReStart">
                <anchor moveWithCells="1">
                  <from>
                    <xdr:col>4</xdr:col>
                    <xdr:colOff>28575</xdr:colOff>
                    <xdr:row>6</xdr:row>
                    <xdr:rowOff>47625</xdr:rowOff>
                  </from>
                  <to>
                    <xdr:col>4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1" name="Drop Down 101">
              <controlPr defaultSize="0" autoFill="0" autoLine="0" autoPict="0" macro="[0]!_xludf.ReStart">
                <anchor moveWithCells="1">
                  <from>
                    <xdr:col>5</xdr:col>
                    <xdr:colOff>28575</xdr:colOff>
                    <xdr:row>6</xdr:row>
                    <xdr:rowOff>47625</xdr:rowOff>
                  </from>
                  <to>
                    <xdr:col>5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0"/>
  <sheetViews>
    <sheetView showGridLines="0" showRowColHeaders="0" workbookViewId="0">
      <selection activeCell="F7" sqref="F7"/>
    </sheetView>
  </sheetViews>
  <sheetFormatPr defaultColWidth="11.42578125" defaultRowHeight="14.25" x14ac:dyDescent="0.2"/>
  <cols>
    <col min="1" max="1" width="4.85546875" style="70" customWidth="1"/>
    <col min="2" max="16384" width="11.42578125" style="70"/>
  </cols>
  <sheetData>
    <row r="1" spans="1:14" s="143" customFormat="1" ht="22.5" customHeight="1" thickBot="1" x14ac:dyDescent="0.3">
      <c r="B1" s="144"/>
      <c r="C1" s="144" t="s">
        <v>87</v>
      </c>
      <c r="D1" s="144"/>
      <c r="E1" s="145"/>
      <c r="F1" s="145"/>
      <c r="G1" s="145"/>
      <c r="H1" s="145"/>
      <c r="I1" s="146"/>
      <c r="J1" s="146"/>
    </row>
    <row r="2" spans="1:14" ht="3.6" customHeight="1" x14ac:dyDescent="0.2"/>
    <row r="3" spans="1:14" ht="15" x14ac:dyDescent="0.25">
      <c r="D3"/>
      <c r="E3" s="76" t="s">
        <v>88</v>
      </c>
      <c r="F3" s="75">
        <v>200</v>
      </c>
      <c r="H3" s="135" t="s">
        <v>89</v>
      </c>
      <c r="I3" s="128"/>
    </row>
    <row r="4" spans="1:14" x14ac:dyDescent="0.2">
      <c r="D4"/>
      <c r="E4" s="76" t="s">
        <v>90</v>
      </c>
      <c r="F4" s="75">
        <v>1000</v>
      </c>
      <c r="H4" s="129" t="s">
        <v>91</v>
      </c>
      <c r="I4" s="130"/>
    </row>
    <row r="5" spans="1:14" x14ac:dyDescent="0.2">
      <c r="A5"/>
      <c r="D5"/>
      <c r="E5" s="76" t="s">
        <v>92</v>
      </c>
      <c r="F5" s="75">
        <v>5</v>
      </c>
      <c r="G5" s="71"/>
      <c r="H5" s="131" t="s">
        <v>93</v>
      </c>
      <c r="I5" s="132"/>
      <c r="J5" s="71"/>
    </row>
    <row r="6" spans="1:14" x14ac:dyDescent="0.2">
      <c r="D6"/>
      <c r="E6" s="76" t="s">
        <v>94</v>
      </c>
      <c r="F6" s="75"/>
      <c r="H6" s="133" t="s">
        <v>95</v>
      </c>
      <c r="I6" s="134"/>
    </row>
    <row r="7" spans="1:14" x14ac:dyDescent="0.2">
      <c r="A7"/>
      <c r="D7"/>
      <c r="E7" s="76" t="s">
        <v>96</v>
      </c>
      <c r="F7" s="75">
        <v>5</v>
      </c>
      <c r="H7"/>
      <c r="I7"/>
    </row>
    <row r="9" spans="1:14" s="69" customFormat="1" x14ac:dyDescent="0.2">
      <c r="A9" s="68"/>
      <c r="B9" s="183"/>
      <c r="C9" s="170" t="s">
        <v>148</v>
      </c>
      <c r="D9" s="170" t="s">
        <v>149</v>
      </c>
      <c r="E9" s="170" t="s">
        <v>153</v>
      </c>
      <c r="F9" s="170" t="s">
        <v>150</v>
      </c>
      <c r="G9"/>
      <c r="H9"/>
      <c r="I9"/>
      <c r="J9"/>
      <c r="K9"/>
      <c r="L9"/>
      <c r="M9"/>
      <c r="N9"/>
    </row>
    <row r="10" spans="1:14" x14ac:dyDescent="0.2">
      <c r="A10" s="72"/>
      <c r="B10" s="184" t="s">
        <v>97</v>
      </c>
      <c r="C10" s="212">
        <v>9.9999999999999997E+98</v>
      </c>
      <c r="D10" s="211">
        <v>5203.8568183533644</v>
      </c>
      <c r="E10" s="211">
        <v>5204.4445224579367</v>
      </c>
      <c r="F10" s="211">
        <v>5208.6514036274584</v>
      </c>
      <c r="G10"/>
      <c r="H10"/>
      <c r="I10"/>
      <c r="J10"/>
      <c r="K10"/>
      <c r="L10"/>
      <c r="M10"/>
      <c r="N10"/>
    </row>
    <row r="11" spans="1:14" x14ac:dyDescent="0.2">
      <c r="A11" s="71"/>
      <c r="B11" s="71"/>
      <c r="G11"/>
      <c r="H11"/>
      <c r="I11"/>
      <c r="J11"/>
      <c r="K11"/>
      <c r="L11"/>
      <c r="M11"/>
      <c r="N11"/>
    </row>
    <row r="12" spans="1:14" s="69" customFormat="1" x14ac:dyDescent="0.2">
      <c r="A12" s="68"/>
      <c r="B12" s="183"/>
      <c r="C12" s="171" t="s">
        <v>151</v>
      </c>
      <c r="D12" s="171" t="s">
        <v>152</v>
      </c>
      <c r="E12" s="171" t="s">
        <v>154</v>
      </c>
      <c r="F12" s="171" t="s">
        <v>98</v>
      </c>
      <c r="G12"/>
      <c r="H12"/>
      <c r="I12"/>
      <c r="J12"/>
      <c r="K12"/>
      <c r="L12"/>
      <c r="M12"/>
      <c r="N12"/>
    </row>
    <row r="13" spans="1:14" x14ac:dyDescent="0.2">
      <c r="A13" s="73"/>
      <c r="B13" s="185" t="s">
        <v>99</v>
      </c>
      <c r="C13" s="172">
        <v>0</v>
      </c>
      <c r="D13" s="172">
        <v>0</v>
      </c>
      <c r="E13" s="172">
        <v>0</v>
      </c>
      <c r="F13" s="172">
        <v>71</v>
      </c>
      <c r="G13"/>
      <c r="H13"/>
      <c r="I13"/>
      <c r="J13"/>
      <c r="K13"/>
      <c r="L13"/>
      <c r="M13"/>
      <c r="N13"/>
    </row>
    <row r="14" spans="1:14" ht="6.75" customHeight="1" x14ac:dyDescent="0.2"/>
    <row r="15" spans="1:14" x14ac:dyDescent="0.2">
      <c r="B15" s="87" t="s">
        <v>100</v>
      </c>
      <c r="C15" s="192">
        <v>5203.8568183533644</v>
      </c>
      <c r="E15"/>
      <c r="F15"/>
      <c r="G15"/>
    </row>
    <row r="16" spans="1:14" x14ac:dyDescent="0.2">
      <c r="B16" s="87" t="s">
        <v>101</v>
      </c>
      <c r="C16" s="74" t="str">
        <f>IF(ContRun=0,"Run-In",ContRun&amp;" of "&amp;DoneRun)</f>
        <v>5 of 5</v>
      </c>
      <c r="E16"/>
      <c r="F16"/>
      <c r="G16"/>
    </row>
    <row r="18" spans="2:7" x14ac:dyDescent="0.2">
      <c r="B18"/>
      <c r="C18"/>
      <c r="D18"/>
      <c r="E18"/>
      <c r="F18"/>
      <c r="G18"/>
    </row>
    <row r="19" spans="2:7" x14ac:dyDescent="0.2">
      <c r="B19"/>
      <c r="C19"/>
      <c r="D19"/>
      <c r="E19"/>
      <c r="F19"/>
      <c r="G19"/>
    </row>
    <row r="20" spans="2:7" x14ac:dyDescent="0.2">
      <c r="B20"/>
      <c r="C20"/>
      <c r="D20"/>
      <c r="E20"/>
    </row>
  </sheetData>
  <phoneticPr fontId="10" type="noConversion"/>
  <pageMargins left="0.75" right="0.75" top="1" bottom="1" header="0.5" footer="0.5"/>
  <pageSetup orientation="portrait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Line="0" autoPict="0" macro="[0]!BeginNewRun">
                <anchor moveWithCells="1" sizeWithCells="1">
                  <from>
                    <xdr:col>0</xdr:col>
                    <xdr:colOff>171450</xdr:colOff>
                    <xdr:row>2</xdr:row>
                    <xdr:rowOff>47625</xdr:rowOff>
                  </from>
                  <to>
                    <xdr:col>2</xdr:col>
                    <xdr:colOff>695325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Line="0" autoPict="0" macro="[0]!ContinueRun">
                <anchor moveWithCells="1" sizeWithCells="1">
                  <from>
                    <xdr:col>0</xdr:col>
                    <xdr:colOff>171450</xdr:colOff>
                    <xdr:row>4</xdr:row>
                    <xdr:rowOff>142875</xdr:rowOff>
                  </from>
                  <to>
                    <xdr:col>2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hangeSpeedSpinner">
              <controlPr defaultSize="0" autoFill="0" autoLine="0" autoPict="0" macro="[0]!_xludf.ReStart">
                <anchor moveWithCells="1">
                  <from>
                    <xdr:col>6</xdr:col>
                    <xdr:colOff>0</xdr:colOff>
                    <xdr:row>5</xdr:row>
                    <xdr:rowOff>171450</xdr:rowOff>
                  </from>
                  <to>
                    <xdr:col>6</xdr:col>
                    <xdr:colOff>266700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AnimationBox">
              <controlPr defaultSize="0" autoFill="0" autoLine="0" autoPict="0">
                <anchor moveWithCells="1">
                  <from>
                    <xdr:col>5</xdr:col>
                    <xdr:colOff>295275</xdr:colOff>
                    <xdr:row>4</xdr:row>
                    <xdr:rowOff>171450</xdr:rowOff>
                  </from>
                  <to>
                    <xdr:col>5</xdr:col>
                    <xdr:colOff>581025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Line="0" autoPict="0" macro="[0]!gotoInstructions">
                <anchor moveWithCells="1" sizeWithCells="1">
                  <from>
                    <xdr:col>7</xdr:col>
                    <xdr:colOff>123825</xdr:colOff>
                    <xdr:row>0</xdr:row>
                    <xdr:rowOff>47625</xdr:rowOff>
                  </from>
                  <to>
                    <xdr:col>8</xdr:col>
                    <xdr:colOff>542925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9"/>
  <sheetViews>
    <sheetView showGridLines="0" showRowColHeaders="0" workbookViewId="0">
      <selection activeCell="G17" sqref="G17"/>
    </sheetView>
  </sheetViews>
  <sheetFormatPr defaultColWidth="8.85546875" defaultRowHeight="12.75" x14ac:dyDescent="0.2"/>
  <cols>
    <col min="1" max="1" width="17.7109375" customWidth="1"/>
  </cols>
  <sheetData>
    <row r="1" spans="1:13" s="66" customFormat="1" ht="25.5" customHeight="1" x14ac:dyDescent="0.2">
      <c r="A1" s="195" t="str">
        <f>"Statistics from the Last Run (run number " &amp; B3 &amp; "):"</f>
        <v>Statistics from the Last Run (run number 5):</v>
      </c>
      <c r="B1" s="196"/>
    </row>
    <row r="2" spans="1:13" ht="6" customHeight="1" x14ac:dyDescent="0.2">
      <c r="A2" s="197"/>
      <c r="B2" s="198"/>
    </row>
    <row r="3" spans="1:13" x14ac:dyDescent="0.2">
      <c r="A3" s="199" t="s">
        <v>102</v>
      </c>
      <c r="B3" s="161">
        <f>nRuns</f>
        <v>5</v>
      </c>
    </row>
    <row r="4" spans="1:13" ht="6" customHeight="1" x14ac:dyDescent="0.2">
      <c r="A4" s="197"/>
    </row>
    <row r="5" spans="1:13" x14ac:dyDescent="0.2">
      <c r="A5" s="197"/>
      <c r="B5" s="200" t="str">
        <f>IF(COLUMN()-1&lt;=Mtotal,Design!C6,"")</f>
        <v>Station 1</v>
      </c>
      <c r="C5" s="200" t="str">
        <f>IF(COLUMN()-1&lt;=Mtotal,Design!D6,"")</f>
        <v>Station 2</v>
      </c>
      <c r="D5" s="200" t="str">
        <f>IF(COLUMN()-1&lt;=Mtotal,Design!E6,"")</f>
        <v>M3</v>
      </c>
      <c r="E5" s="200" t="str">
        <f>IF(COLUMN()-1&lt;=Mtotal,Design!F6,"")</f>
        <v>M4</v>
      </c>
      <c r="F5" s="200" t="str">
        <f>IF(COLUMN()-1&lt;=Mtotal,Design!G6,"")</f>
        <v/>
      </c>
      <c r="G5" s="200" t="str">
        <f>IF(COLUMN()-1&lt;=Mtotal,Design!H6,"")</f>
        <v/>
      </c>
      <c r="H5" s="200" t="str">
        <f>IF(COLUMN()-1&lt;=Mtotal,Design!I6,"")</f>
        <v/>
      </c>
      <c r="I5" s="200" t="str">
        <f>IF(COLUMN()-1&lt;=Mtotal,Design!J6,"")</f>
        <v/>
      </c>
      <c r="J5" s="200" t="str">
        <f>IF(COLUMN()-1&lt;=Mtotal,Design!K6,"")</f>
        <v/>
      </c>
      <c r="K5" s="200" t="str">
        <f>IF(COLUMN()-1&lt;=Mtotal,Design!L6,"")</f>
        <v/>
      </c>
      <c r="L5" s="200" t="str">
        <f>IF(COLUMN()-1&lt;=Mtotal,Design!M6,"")</f>
        <v/>
      </c>
      <c r="M5" s="200" t="str">
        <f>IF(COLUMN()-1&lt;=Mtotal,Design!N6,"")</f>
        <v/>
      </c>
    </row>
    <row r="6" spans="1:13" x14ac:dyDescent="0.2">
      <c r="A6" s="199" t="s">
        <v>103</v>
      </c>
      <c r="B6" s="193">
        <f ca="1">IF(COLUMN()-1&lt;=Mtotal,OFFSET(Machines!D8,nRuns,0,1,1),"")</f>
        <v>0.74091526062133295</v>
      </c>
      <c r="C6" s="194">
        <f ca="1">IF(COLUMN()-1&lt;=Mtotal,AVERAGE(OFFSET(Machines!E8,1,0,nRuns,1)),"")</f>
        <v>0.7299352420886227</v>
      </c>
      <c r="D6" s="194">
        <f ca="1">IF(COLUMN()-1&lt;=Mtotal,AVERAGE(OFFSET(Machines!F8,1,0,nRuns,1)),"")</f>
        <v>0.7140425677243053</v>
      </c>
      <c r="E6" s="194">
        <f ca="1">IF(COLUMN()-1&lt;=Mtotal,AVERAGE(OFFSET(Machines!G8,1,0,nRuns,1)),"")</f>
        <v>0.7348495796064467</v>
      </c>
      <c r="F6" s="194" t="str">
        <f ca="1">IF(COLUMN()-1&lt;=Mtotal,AVERAGE(OFFSET(Machines!H8,1,0,nRuns,1)),"")</f>
        <v/>
      </c>
      <c r="G6" s="194" t="str">
        <f ca="1">IF(COLUMN()-1&lt;=Mtotal,AVERAGE(OFFSET(Machines!I8,1,0,nRuns,1)),"")</f>
        <v/>
      </c>
      <c r="H6" s="194" t="str">
        <f ca="1">IF(COLUMN()-1&lt;=Mtotal,AVERAGE(OFFSET(Machines!J8,1,0,nRuns,1)),"")</f>
        <v/>
      </c>
      <c r="I6" s="194" t="str">
        <f ca="1">IF(COLUMN()-1&lt;=Mtotal,AVERAGE(OFFSET(Machines!K8,1,0,nRuns,1)),"")</f>
        <v/>
      </c>
      <c r="J6" s="194" t="str">
        <f ca="1">IF(COLUMN()-1&lt;=Mtotal,AVERAGE(OFFSET(Machines!L8,1,0,nRuns,1)),"")</f>
        <v/>
      </c>
      <c r="K6" s="194" t="str">
        <f ca="1">IF(COLUMN()-1&lt;=Mtotal,AVERAGE(OFFSET(Machines!M8,1,0,nRuns,1)),"")</f>
        <v/>
      </c>
      <c r="L6" s="194" t="str">
        <f ca="1">IF(COLUMN()-1&lt;=Mtotal,AVERAGE(OFFSET(Machines!N8,1,0,nRuns,1)),"")</f>
        <v/>
      </c>
      <c r="M6" s="194" t="str">
        <f ca="1">IF(COLUMN()-1&lt;=Mtotal,AVERAGE(OFFSET(Machines!O8,1,0,nRuns,1)),"")</f>
        <v/>
      </c>
    </row>
    <row r="7" spans="1:13" x14ac:dyDescent="0.2">
      <c r="A7" s="199" t="s">
        <v>104</v>
      </c>
      <c r="B7" s="193">
        <f ca="1">IF(COLUMN()-1&lt;=Mtotal,OFFSET(Machines!AN8,nRuns,0,1,1),"")</f>
        <v>0</v>
      </c>
      <c r="C7" s="194">
        <f ca="1">IF(COLUMN()-1&lt;=Mtotal,AVERAGE(OFFSET(Machines!AO8,1,0,nRuns,1)),"")</f>
        <v>7.8324236255833485E-2</v>
      </c>
      <c r="D7" s="194">
        <f ca="1">IF(COLUMN()-1&lt;=Mtotal,AVERAGE(OFFSET(Machines!AP8,1,0,nRuns,1)),"")</f>
        <v>0.14823405902818962</v>
      </c>
      <c r="E7" s="194">
        <f ca="1">IF(COLUMN()-1&lt;=Mtotal,AVERAGE(OFFSET(Machines!AQ8,1,0,nRuns,1)),"")</f>
        <v>0.2651504203935533</v>
      </c>
      <c r="F7" s="194" t="str">
        <f ca="1">IF(COLUMN()-1&lt;=Mtotal,AVERAGE(OFFSET(Machines!AR8,1,0,nRuns,1)),"")</f>
        <v/>
      </c>
      <c r="G7" s="194" t="str">
        <f ca="1">IF(COLUMN()-1&lt;=Mtotal,AVERAGE(OFFSET(Machines!AS8,1,0,nRuns,1)),"")</f>
        <v/>
      </c>
      <c r="H7" s="194" t="str">
        <f ca="1">IF(COLUMN()-1&lt;=Mtotal,AVERAGE(OFFSET(Machines!AT8,1,0,nRuns,1)),"")</f>
        <v/>
      </c>
      <c r="I7" s="194" t="str">
        <f ca="1">IF(COLUMN()-1&lt;=Mtotal,AVERAGE(OFFSET(Machines!AU8,1,0,nRuns,1)),"")</f>
        <v/>
      </c>
      <c r="J7" s="194" t="str">
        <f ca="1">IF(COLUMN()-1&lt;=Mtotal,AVERAGE(OFFSET(Machines!AV8,1,0,nRuns,1)),"")</f>
        <v/>
      </c>
      <c r="K7" s="194" t="str">
        <f ca="1">IF(COLUMN()-1&lt;=Mtotal,AVERAGE(OFFSET(Machines!AW8,1,0,nRuns,1)),"")</f>
        <v/>
      </c>
      <c r="L7" s="194" t="str">
        <f ca="1">IF(COLUMN()-1&lt;=Mtotal,AVERAGE(OFFSET(Machines!AX8,1,0,nRuns,1)),"")</f>
        <v/>
      </c>
      <c r="M7" s="194" t="str">
        <f ca="1">IF(COLUMN()-1&lt;=Mtotal,AVERAGE(OFFSET(Machines!AY8,1,0,nRuns,1)),"")</f>
        <v/>
      </c>
    </row>
    <row r="8" spans="1:13" x14ac:dyDescent="0.2">
      <c r="A8" s="199" t="s">
        <v>105</v>
      </c>
      <c r="B8" s="193">
        <f ca="1">IF(COLUMN()-1&lt;=Mtotal,OFFSET(Machines!AB8,nRuns,0,1,1),"")</f>
        <v>0.25908473937866711</v>
      </c>
      <c r="C8" s="194">
        <f ca="1">IF(COLUMN()-1&lt;=Mtotal,AVERAGE(OFFSET(Machines!AC8,1,0,nRuns,1)),"")</f>
        <v>0.19174052165554381</v>
      </c>
      <c r="D8" s="194">
        <f ca="1">IF(COLUMN()-1&lt;=Mtotal,AVERAGE(OFFSET(Machines!AD8,1,0,nRuns,1)),"")</f>
        <v>0.13772337324750503</v>
      </c>
      <c r="E8" s="194">
        <f ca="1">IF(COLUMN()-1&lt;=Mtotal,AVERAGE(OFFSET(Machines!AE8,1,0,nRuns,1)),"")</f>
        <v>0</v>
      </c>
      <c r="F8" s="194" t="str">
        <f ca="1">IF(COLUMN()-1&lt;=Mtotal,AVERAGE(OFFSET(Machines!AF8,1,0,nRuns,1)),"")</f>
        <v/>
      </c>
      <c r="G8" s="194" t="str">
        <f ca="1">IF(COLUMN()-1&lt;=Mtotal,AVERAGE(OFFSET(Machines!AG8,1,0,nRuns,1)),"")</f>
        <v/>
      </c>
      <c r="H8" s="194" t="str">
        <f ca="1">IF(COLUMN()-1&lt;=Mtotal,AVERAGE(OFFSET(Machines!AH8,1,0,nRuns,1)),"")</f>
        <v/>
      </c>
      <c r="I8" s="194" t="str">
        <f ca="1">IF(COLUMN()-1&lt;=Mtotal,AVERAGE(OFFSET(Machines!AI8,1,0,nRuns,1)),"")</f>
        <v/>
      </c>
      <c r="J8" s="194" t="str">
        <f ca="1">IF(COLUMN()-1&lt;=Mtotal,AVERAGE(OFFSET(Machines!AJ8,1,0,nRuns,1)),"")</f>
        <v/>
      </c>
      <c r="K8" s="194" t="str">
        <f ca="1">IF(COLUMN()-1&lt;=Mtotal,AVERAGE(OFFSET(Machines!AK8,1,0,nRuns,1)),"")</f>
        <v/>
      </c>
      <c r="L8" s="194" t="str">
        <f ca="1">IF(COLUMN()-1&lt;=Mtotal,AVERAGE(OFFSET(Machines!AL8,1,0,nRuns,1)),"")</f>
        <v/>
      </c>
      <c r="M8" s="194" t="str">
        <f ca="1">IF(COLUMN()-1&lt;=Mtotal,AVERAGE(OFFSET(Machines!AM8,1,0,nRuns,1)),"")</f>
        <v/>
      </c>
    </row>
    <row r="9" spans="1:13" ht="6" customHeight="1" x14ac:dyDescent="0.2">
      <c r="A9" s="199"/>
    </row>
    <row r="10" spans="1:13" x14ac:dyDescent="0.2">
      <c r="A10" s="199"/>
      <c r="B10" s="201" t="str">
        <f>IF(COLUMN()&lt;=Mtotal,Design!C17,"")</f>
        <v>Station 1's</v>
      </c>
      <c r="C10" s="201" t="str">
        <f>IF(COLUMN()&lt;=Mtotal,Design!D17,"")</f>
        <v>Station 2's</v>
      </c>
      <c r="D10" s="201" t="str">
        <f>IF(COLUMN()&lt;=Mtotal,Design!E17,"")</f>
        <v>M3's</v>
      </c>
      <c r="E10" s="201" t="str">
        <f>IF(COLUMN()&lt;=Mtotal,Design!F17,"")</f>
        <v/>
      </c>
      <c r="F10" s="201" t="str">
        <f>IF(COLUMN()&lt;=Mtotal,Design!G17,"")</f>
        <v/>
      </c>
      <c r="G10" s="201" t="str">
        <f>IF(COLUMN()&lt;=Mtotal,Design!H17,"")</f>
        <v/>
      </c>
      <c r="H10" s="201" t="str">
        <f>IF(COLUMN()&lt;=Mtotal,Design!I17,"")</f>
        <v/>
      </c>
      <c r="I10" s="201" t="str">
        <f>IF(COLUMN()&lt;=Mtotal,Design!J17,"")</f>
        <v/>
      </c>
      <c r="J10" s="201" t="str">
        <f>IF(COLUMN()&lt;=Mtotal,Design!K17,"")</f>
        <v/>
      </c>
      <c r="K10" s="201" t="str">
        <f>IF(COLUMN()&lt;=Mtotal,Design!L17,"")</f>
        <v/>
      </c>
      <c r="L10" s="201" t="str">
        <f>IF(COLUMN()&lt;=Mtotal,Design!M17,"")</f>
        <v/>
      </c>
    </row>
    <row r="11" spans="1:13" x14ac:dyDescent="0.2">
      <c r="A11" s="199" t="s">
        <v>106</v>
      </c>
      <c r="B11" s="202">
        <f ca="1">IF(COLUMN()&lt;=Mtotal,OFFSET(Inventory!D8,nRuns,0,1,1),"")</f>
        <v>0</v>
      </c>
      <c r="C11" s="202">
        <f ca="1">IF(COLUMN()&lt;=Mtotal,AVERAGE(OFFSET(Inventory!E8,1,0,nRuns,1)),"")</f>
        <v>0</v>
      </c>
      <c r="D11" s="202">
        <f ca="1">IF(COLUMN()&lt;=Mtotal,AVERAGE(OFFSET(Inventory!F8,1,0,nRuns,1)),"")</f>
        <v>0</v>
      </c>
      <c r="E11" s="202" t="str">
        <f ca="1">IF(COLUMN()&lt;=Mtotal,AVERAGE(OFFSET(Inventory!G8,1,0,nRuns,1)),"")</f>
        <v/>
      </c>
      <c r="F11" s="202" t="str">
        <f ca="1">IF(COLUMN()&lt;=Mtotal,AVERAGE(OFFSET(Inventory!H8,1,0,nRuns,1)),"")</f>
        <v/>
      </c>
      <c r="G11" s="202" t="str">
        <f ca="1">IF(COLUMN()&lt;=Mtotal,AVERAGE(OFFSET(Inventory!I8,1,0,nRuns,1)),"")</f>
        <v/>
      </c>
      <c r="H11" s="202" t="str">
        <f ca="1">IF(COLUMN()&lt;=Mtotal,AVERAGE(OFFSET(Inventory!J8,1,0,nRuns,1)),"")</f>
        <v/>
      </c>
      <c r="I11" s="202" t="str">
        <f ca="1">IF(COLUMN()&lt;=Mtotal,AVERAGE(OFFSET(Inventory!K8,1,0,nRuns,1)),"")</f>
        <v/>
      </c>
      <c r="J11" s="202" t="str">
        <f ca="1">IF(COLUMN()&lt;=Mtotal,AVERAGE(OFFSET(Inventory!L8,1,0,nRuns,1)),"")</f>
        <v/>
      </c>
      <c r="K11" s="202" t="str">
        <f ca="1">IF(COLUMN()&lt;=Mtotal,AVERAGE(OFFSET(Inventory!M8,1,0,nRuns,1)),"")</f>
        <v/>
      </c>
      <c r="L11" s="202" t="str">
        <f ca="1">IF(COLUMN()&lt;=Mtotal,AVERAGE(OFFSET(Inventory!N8,1,0,nRuns,1)),"")</f>
        <v/>
      </c>
    </row>
    <row r="12" spans="1:13" x14ac:dyDescent="0.2">
      <c r="A12" s="199" t="s">
        <v>107</v>
      </c>
      <c r="B12" s="161">
        <f ca="1">IF(COLUMN()&lt;=Mtotal,OFFSET(Inventory!Z8,nRuns,0,1,1),"")</f>
        <v>0</v>
      </c>
      <c r="C12" s="161">
        <f ca="1">IF(COLUMN()&lt;=Mtotal,MIN(OFFSET(Inventory!AA8,1,0,nRuns,1)),"")</f>
        <v>0</v>
      </c>
      <c r="D12" s="161">
        <f ca="1">IF(COLUMN()&lt;=Mtotal,MIN(OFFSET(Inventory!AB8,1,0,nRuns,1)),"")</f>
        <v>0</v>
      </c>
      <c r="E12" s="161" t="str">
        <f ca="1">IF(COLUMN()&lt;=Mtotal,MIN(OFFSET(Inventory!AC8,1,0,nRuns,1)),"")</f>
        <v/>
      </c>
      <c r="F12" s="161" t="str">
        <f ca="1">IF(COLUMN()&lt;=Mtotal,MIN(OFFSET(Inventory!AD8,1,0,nRuns,1)),"")</f>
        <v/>
      </c>
      <c r="G12" s="161" t="str">
        <f ca="1">IF(COLUMN()&lt;=Mtotal,MIN(OFFSET(Inventory!AE8,1,0,nRuns,1)),"")</f>
        <v/>
      </c>
      <c r="H12" s="161" t="str">
        <f ca="1">IF(COLUMN()&lt;=Mtotal,MIN(OFFSET(Inventory!AF8,1,0,nRuns,1)),"")</f>
        <v/>
      </c>
      <c r="I12" s="161" t="str">
        <f ca="1">IF(COLUMN()&lt;=Mtotal,MIN(OFFSET(Inventory!AG8,1,0,nRuns,1)),"")</f>
        <v/>
      </c>
      <c r="J12" s="161" t="str">
        <f ca="1">IF(COLUMN()&lt;=Mtotal,MIN(OFFSET(Inventory!AH8,1,0,nRuns,1)),"")</f>
        <v/>
      </c>
      <c r="K12" s="161" t="str">
        <f ca="1">IF(COLUMN()&lt;=Mtotal,MIN(OFFSET(Inventory!AI8,1,0,nRuns,1)),"")</f>
        <v/>
      </c>
      <c r="L12" s="161" t="str">
        <f ca="1">IF(COLUMN()&lt;=Mtotal,MIN(OFFSET(Inventory!AJ8,1,0,nRuns,1)),"")</f>
        <v/>
      </c>
    </row>
    <row r="13" spans="1:13" x14ac:dyDescent="0.2">
      <c r="A13" s="199" t="s">
        <v>108</v>
      </c>
      <c r="B13" s="161">
        <f ca="1">IF(COLUMN()&lt;=Mtotal,OFFSET(Inventory!O8,nRuns,0,1,1),"")</f>
        <v>0</v>
      </c>
      <c r="C13" s="161">
        <f ca="1">IF(COLUMN()&lt;=Mtotal,MAX(OFFSET(Inventory!P8,1,0,nRuns,1)),"")</f>
        <v>0</v>
      </c>
      <c r="D13" s="161">
        <f ca="1">IF(COLUMN()&lt;=Mtotal,MAX(OFFSET(Inventory!Q8,1,0,nRuns,1)),"")</f>
        <v>0</v>
      </c>
      <c r="E13" s="161" t="str">
        <f ca="1">IF(COLUMN()&lt;=Mtotal,MAX(OFFSET(Inventory!R8,1,0,nRuns,1)),"")</f>
        <v/>
      </c>
      <c r="F13" s="161" t="str">
        <f ca="1">IF(COLUMN()&lt;=Mtotal,MAX(OFFSET(Inventory!S8,1,0,nRuns,1)),"")</f>
        <v/>
      </c>
      <c r="G13" s="161" t="str">
        <f ca="1">IF(COLUMN()&lt;=Mtotal,MAX(OFFSET(Inventory!T8,1,0,nRuns,1)),"")</f>
        <v/>
      </c>
      <c r="H13" s="161" t="str">
        <f ca="1">IF(COLUMN()&lt;=Mtotal,MAX(OFFSET(Inventory!U8,1,0,nRuns,1)),"")</f>
        <v/>
      </c>
      <c r="I13" s="161" t="str">
        <f ca="1">IF(COLUMN()&lt;=Mtotal,MAX(OFFSET(Inventory!V8,1,0,nRuns,1)),"")</f>
        <v/>
      </c>
      <c r="J13" s="161" t="str">
        <f ca="1">IF(COLUMN()&lt;=Mtotal,MAX(OFFSET(Inventory!W8,1,0,nRuns,1)),"")</f>
        <v/>
      </c>
      <c r="K13" s="161" t="str">
        <f ca="1">IF(COLUMN()&lt;=Mtotal,MAX(OFFSET(Inventory!X8,1,0,nRuns,1)),"")</f>
        <v/>
      </c>
      <c r="L13" s="161" t="str">
        <f ca="1">IF(COLUMN()&lt;=Mtotal,MAX(OFFSET(Inventory!Y8,1,0,nRuns,1)),"")</f>
        <v/>
      </c>
    </row>
    <row r="14" spans="1:13" x14ac:dyDescent="0.2">
      <c r="A14" s="199" t="s">
        <v>86</v>
      </c>
      <c r="B14" s="161">
        <f>IF(COLUMN()&lt;=Mtotal,Design!C18,"")</f>
        <v>0</v>
      </c>
      <c r="C14" s="161">
        <f>IF(COLUMN()&lt;=Mtotal,Design!D18,"")</f>
        <v>0</v>
      </c>
      <c r="D14" s="161">
        <f>IF(COLUMN()&lt;=Mtotal,Design!E18,"")</f>
        <v>0</v>
      </c>
      <c r="E14" s="161" t="str">
        <f>IF(COLUMN()&lt;=Mtotal,Design!F18,"")</f>
        <v/>
      </c>
      <c r="F14" s="161" t="str">
        <f>IF(COLUMN()&lt;=Mtotal,Design!G18,"")</f>
        <v/>
      </c>
      <c r="G14" s="161" t="str">
        <f>IF(COLUMN()&lt;=Mtotal,Design!H18,"")</f>
        <v/>
      </c>
      <c r="H14" s="161" t="str">
        <f>IF(COLUMN()&lt;=Mtotal,Design!I18,"")</f>
        <v/>
      </c>
      <c r="I14" s="161" t="str">
        <f>IF(COLUMN()&lt;=Mtotal,Design!J18,"")</f>
        <v/>
      </c>
      <c r="J14" s="161" t="str">
        <f>IF(COLUMN()&lt;=Mtotal,Design!K18,"")</f>
        <v/>
      </c>
      <c r="K14" s="161" t="str">
        <f>IF(COLUMN()&lt;=Mtotal,Design!L18,"")</f>
        <v/>
      </c>
      <c r="L14" s="161" t="str">
        <f>IF(COLUMN()&lt;=Mtotal,Design!M18,"")</f>
        <v/>
      </c>
    </row>
    <row r="15" spans="1:13" ht="6.75" customHeight="1" x14ac:dyDescent="0.2">
      <c r="A15" s="197"/>
    </row>
    <row r="16" spans="1:13" x14ac:dyDescent="0.2">
      <c r="B16" s="201" t="s">
        <v>109</v>
      </c>
    </row>
    <row r="17" spans="1:2" x14ac:dyDescent="0.2">
      <c r="A17" s="199" t="s">
        <v>110</v>
      </c>
      <c r="B17" s="202">
        <f ca="1">SUM(OFFSET($B$8,0,0,1,Mtotal-1),OFFSET($B$11,0,0,1,Mtotal-1))</f>
        <v>0.588548634281716</v>
      </c>
    </row>
    <row r="18" spans="1:2" x14ac:dyDescent="0.2">
      <c r="A18" s="199" t="s">
        <v>111</v>
      </c>
      <c r="B18" s="202">
        <f ca="1">SUM(OFFSET($B$6,0,0,1,Mtotal))</f>
        <v>2.9197426500407078</v>
      </c>
    </row>
    <row r="19" spans="1:2" x14ac:dyDescent="0.2">
      <c r="A19" s="199" t="s">
        <v>112</v>
      </c>
      <c r="B19" s="202">
        <f ca="1">B17+B18</f>
        <v>3.5082912843224237</v>
      </c>
    </row>
  </sheetData>
  <phoneticPr fontId="10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9"/>
  <sheetViews>
    <sheetView showGridLines="0" showRowColHeaders="0" workbookViewId="0">
      <selection activeCell="D32" sqref="D32:D35"/>
    </sheetView>
  </sheetViews>
  <sheetFormatPr defaultColWidth="8.85546875" defaultRowHeight="12.75" x14ac:dyDescent="0.2"/>
  <cols>
    <col min="1" max="1" width="17.7109375" customWidth="1"/>
  </cols>
  <sheetData>
    <row r="1" spans="1:13" s="66" customFormat="1" ht="25.5" customHeight="1" x14ac:dyDescent="0.2">
      <c r="A1" s="195" t="s">
        <v>113</v>
      </c>
      <c r="B1" s="196"/>
    </row>
    <row r="2" spans="1:13" x14ac:dyDescent="0.2">
      <c r="A2" s="197"/>
      <c r="B2" s="198"/>
    </row>
    <row r="3" spans="1:13" x14ac:dyDescent="0.2">
      <c r="A3" s="199" t="s">
        <v>102</v>
      </c>
      <c r="B3" s="161">
        <f>MAX(Machines!A:A)</f>
        <v>5</v>
      </c>
    </row>
    <row r="4" spans="1:13" x14ac:dyDescent="0.2">
      <c r="A4" s="197"/>
    </row>
    <row r="5" spans="1:13" x14ac:dyDescent="0.2">
      <c r="A5" s="197"/>
      <c r="B5" s="200" t="str">
        <f>IF(COLUMN()-1&lt;=Mtotal,Design!C6,"")</f>
        <v>Station 1</v>
      </c>
      <c r="C5" s="200" t="str">
        <f>IF(COLUMN()-1&lt;=Mtotal,Design!D6,"")</f>
        <v>Station 2</v>
      </c>
      <c r="D5" s="200" t="str">
        <f>IF(COLUMN()-1&lt;=Mtotal,Design!E6,"")</f>
        <v>M3</v>
      </c>
      <c r="E5" s="200" t="str">
        <f>IF(COLUMN()-1&lt;=Mtotal,Design!F6,"")</f>
        <v>M4</v>
      </c>
      <c r="F5" s="200" t="str">
        <f>IF(COLUMN()-1&lt;=Mtotal,Design!G6,"")</f>
        <v/>
      </c>
      <c r="G5" s="200" t="str">
        <f>IF(COLUMN()-1&lt;=Mtotal,Design!H6,"")</f>
        <v/>
      </c>
      <c r="H5" s="200" t="str">
        <f>IF(COLUMN()-1&lt;=Mtotal,Design!I6,"")</f>
        <v/>
      </c>
      <c r="I5" s="200" t="str">
        <f>IF(COLUMN()-1&lt;=Mtotal,Design!J6,"")</f>
        <v/>
      </c>
      <c r="J5" s="200" t="str">
        <f>IF(COLUMN()-1&lt;=Mtotal,Design!K6,"")</f>
        <v/>
      </c>
      <c r="K5" s="200" t="str">
        <f>IF(COLUMN()-1&lt;=Mtotal,Design!L6,"")</f>
        <v/>
      </c>
      <c r="L5" s="200" t="str">
        <f>IF(COLUMN()-1&lt;=Mtotal,Design!M6,"")</f>
        <v/>
      </c>
      <c r="M5" s="200" t="str">
        <f>IF(COLUMN()-1&lt;=Mtotal,Design!N6,"")</f>
        <v/>
      </c>
    </row>
    <row r="6" spans="1:13" x14ac:dyDescent="0.2">
      <c r="A6" s="199" t="s">
        <v>103</v>
      </c>
      <c r="B6" s="194">
        <f ca="1">IF(COLUMN()-1&lt;=Mtotal,AVERAGE(OFFSET(Machines!D8,1,0,nRuns,1)),"")</f>
        <v>0.72048378825799397</v>
      </c>
      <c r="C6" s="194">
        <f ca="1">IF(COLUMN()-1&lt;=Mtotal,AVERAGE(OFFSET(Machines!E8,1,0,nRuns,1)),"")</f>
        <v>0.7299352420886227</v>
      </c>
      <c r="D6" s="194">
        <f ca="1">IF(COLUMN()-1&lt;=Mtotal,AVERAGE(OFFSET(Machines!F8,1,0,nRuns,1)),"")</f>
        <v>0.7140425677243053</v>
      </c>
      <c r="E6" s="194">
        <f ca="1">IF(COLUMN()-1&lt;=Mtotal,AVERAGE(OFFSET(Machines!G8,1,0,nRuns,1)),"")</f>
        <v>0.7348495796064467</v>
      </c>
      <c r="F6" s="194" t="str">
        <f ca="1">IF(COLUMN()-1&lt;=Mtotal,AVERAGE(OFFSET(Machines!H8,1,0,nRuns,1)),"")</f>
        <v/>
      </c>
      <c r="G6" s="194" t="str">
        <f ca="1">IF(COLUMN()-1&lt;=Mtotal,AVERAGE(OFFSET(Machines!I8,1,0,nRuns,1)),"")</f>
        <v/>
      </c>
      <c r="H6" s="194" t="str">
        <f ca="1">IF(COLUMN()-1&lt;=Mtotal,AVERAGE(OFFSET(Machines!J8,1,0,nRuns,1)),"")</f>
        <v/>
      </c>
      <c r="I6" s="194" t="str">
        <f ca="1">IF(COLUMN()-1&lt;=Mtotal,AVERAGE(OFFSET(Machines!K8,1,0,nRuns,1)),"")</f>
        <v/>
      </c>
      <c r="J6" s="194" t="str">
        <f ca="1">IF(COLUMN()-1&lt;=Mtotal,AVERAGE(OFFSET(Machines!L8,1,0,nRuns,1)),"")</f>
        <v/>
      </c>
      <c r="K6" s="194" t="str">
        <f ca="1">IF(COLUMN()-1&lt;=Mtotal,AVERAGE(OFFSET(Machines!M8,1,0,nRuns,1)),"")</f>
        <v/>
      </c>
      <c r="L6" s="194" t="str">
        <f ca="1">IF(COLUMN()-1&lt;=Mtotal,AVERAGE(OFFSET(Machines!N8,1,0,nRuns,1)),"")</f>
        <v/>
      </c>
      <c r="M6" s="194" t="str">
        <f ca="1">IF(COLUMN()-1&lt;=Mtotal,AVERAGE(OFFSET(Machines!O8,1,0,nRuns,1)),"")</f>
        <v/>
      </c>
    </row>
    <row r="7" spans="1:13" x14ac:dyDescent="0.2">
      <c r="A7" s="199" t="s">
        <v>104</v>
      </c>
      <c r="B7" s="194">
        <f ca="1">IF(COLUMN()-1&lt;=Mtotal,AVERAGE(OFFSET(Machines!AN8,1,0,nRuns,1)),"")</f>
        <v>0</v>
      </c>
      <c r="C7" s="194">
        <f ca="1">IF(COLUMN()-1&lt;=Mtotal,AVERAGE(OFFSET(Machines!AO8,1,0,nRuns,1)),"")</f>
        <v>7.8324236255833485E-2</v>
      </c>
      <c r="D7" s="194">
        <f ca="1">IF(COLUMN()-1&lt;=Mtotal,AVERAGE(OFFSET(Machines!AP8,1,0,nRuns,1)),"")</f>
        <v>0.14823405902818962</v>
      </c>
      <c r="E7" s="194">
        <f ca="1">IF(COLUMN()-1&lt;=Mtotal,AVERAGE(OFFSET(Machines!AQ8,1,0,nRuns,1)),"")</f>
        <v>0.2651504203935533</v>
      </c>
      <c r="F7" s="194" t="str">
        <f ca="1">IF(COLUMN()-1&lt;=Mtotal,AVERAGE(OFFSET(Machines!AR8,1,0,nRuns,1)),"")</f>
        <v/>
      </c>
      <c r="G7" s="194" t="str">
        <f ca="1">IF(COLUMN()-1&lt;=Mtotal,AVERAGE(OFFSET(Machines!AS8,1,0,nRuns,1)),"")</f>
        <v/>
      </c>
      <c r="H7" s="194" t="str">
        <f ca="1">IF(COLUMN()-1&lt;=Mtotal,AVERAGE(OFFSET(Machines!AT8,1,0,nRuns,1)),"")</f>
        <v/>
      </c>
      <c r="I7" s="194" t="str">
        <f ca="1">IF(COLUMN()-1&lt;=Mtotal,AVERAGE(OFFSET(Machines!AU8,1,0,nRuns,1)),"")</f>
        <v/>
      </c>
      <c r="J7" s="194" t="str">
        <f ca="1">IF(COLUMN()-1&lt;=Mtotal,AVERAGE(OFFSET(Machines!AV8,1,0,nRuns,1)),"")</f>
        <v/>
      </c>
      <c r="K7" s="194" t="str">
        <f ca="1">IF(COLUMN()-1&lt;=Mtotal,AVERAGE(OFFSET(Machines!AW8,1,0,nRuns,1)),"")</f>
        <v/>
      </c>
      <c r="L7" s="194" t="str">
        <f ca="1">IF(COLUMN()-1&lt;=Mtotal,AVERAGE(OFFSET(Machines!AX8,1,0,nRuns,1)),"")</f>
        <v/>
      </c>
      <c r="M7" s="194" t="str">
        <f ca="1">IF(COLUMN()-1&lt;=Mtotal,AVERAGE(OFFSET(Machines!AY8,1,0,nRuns,1)),"")</f>
        <v/>
      </c>
    </row>
    <row r="8" spans="1:13" x14ac:dyDescent="0.2">
      <c r="A8" s="199" t="s">
        <v>105</v>
      </c>
      <c r="B8" s="194">
        <f ca="1">IF(COLUMN()-1&lt;=Mtotal,AVERAGE(OFFSET(Machines!AB8,1,0,nRuns,1)),"")</f>
        <v>0.27951621174200614</v>
      </c>
      <c r="C8" s="194">
        <f ca="1">IF(COLUMN()-1&lt;=Mtotal,AVERAGE(OFFSET(Machines!AC8,1,0,nRuns,1)),"")</f>
        <v>0.19174052165554381</v>
      </c>
      <c r="D8" s="194">
        <f ca="1">IF(COLUMN()-1&lt;=Mtotal,AVERAGE(OFFSET(Machines!AD8,1,0,nRuns,1)),"")</f>
        <v>0.13772337324750503</v>
      </c>
      <c r="E8" s="194">
        <f ca="1">IF(COLUMN()-1&lt;=Mtotal,AVERAGE(OFFSET(Machines!AE8,1,0,nRuns,1)),"")</f>
        <v>0</v>
      </c>
      <c r="F8" s="194" t="str">
        <f ca="1">IF(COLUMN()-1&lt;=Mtotal,AVERAGE(OFFSET(Machines!AF8,1,0,nRuns,1)),"")</f>
        <v/>
      </c>
      <c r="G8" s="194" t="str">
        <f ca="1">IF(COLUMN()-1&lt;=Mtotal,AVERAGE(OFFSET(Machines!AG8,1,0,nRuns,1)),"")</f>
        <v/>
      </c>
      <c r="H8" s="194" t="str">
        <f ca="1">IF(COLUMN()-1&lt;=Mtotal,AVERAGE(OFFSET(Machines!AH8,1,0,nRuns,1)),"")</f>
        <v/>
      </c>
      <c r="I8" s="194" t="str">
        <f ca="1">IF(COLUMN()-1&lt;=Mtotal,AVERAGE(OFFSET(Machines!AI8,1,0,nRuns,1)),"")</f>
        <v/>
      </c>
      <c r="J8" s="194" t="str">
        <f ca="1">IF(COLUMN()-1&lt;=Mtotal,AVERAGE(OFFSET(Machines!AJ8,1,0,nRuns,1)),"")</f>
        <v/>
      </c>
      <c r="K8" s="194" t="str">
        <f ca="1">IF(COLUMN()-1&lt;=Mtotal,AVERAGE(OFFSET(Machines!AK8,1,0,nRuns,1)),"")</f>
        <v/>
      </c>
      <c r="L8" s="194" t="str">
        <f ca="1">IF(COLUMN()-1&lt;=Mtotal,AVERAGE(OFFSET(Machines!AL8,1,0,nRuns,1)),"")</f>
        <v/>
      </c>
      <c r="M8" s="194" t="str">
        <f ca="1">IF(COLUMN()-1&lt;=Mtotal,AVERAGE(OFFSET(Machines!AM8,1,0,nRuns,1)),"")</f>
        <v/>
      </c>
    </row>
    <row r="9" spans="1:13" x14ac:dyDescent="0.2">
      <c r="A9" s="199"/>
    </row>
    <row r="10" spans="1:13" x14ac:dyDescent="0.2">
      <c r="A10" s="199"/>
      <c r="B10" s="201" t="str">
        <f>IF(COLUMN()&lt;=Mtotal,Design!C17,"")</f>
        <v>Station 1's</v>
      </c>
      <c r="C10" s="201" t="str">
        <f>IF(COLUMN()&lt;=Mtotal,Design!D17,"")</f>
        <v>Station 2's</v>
      </c>
      <c r="D10" s="201" t="str">
        <f>IF(COLUMN()&lt;=Mtotal,Design!E17,"")</f>
        <v>M3's</v>
      </c>
      <c r="E10" s="201" t="str">
        <f>IF(COLUMN()&lt;=Mtotal,Design!F17,"")</f>
        <v/>
      </c>
      <c r="F10" s="201" t="str">
        <f>IF(COLUMN()&lt;=Mtotal,Design!G17,"")</f>
        <v/>
      </c>
      <c r="G10" s="201" t="str">
        <f>IF(COLUMN()&lt;=Mtotal,Design!H17,"")</f>
        <v/>
      </c>
      <c r="H10" s="201" t="str">
        <f>IF(COLUMN()&lt;=Mtotal,Design!I17,"")</f>
        <v/>
      </c>
      <c r="I10" s="201" t="str">
        <f>IF(COLUMN()&lt;=Mtotal,Design!J17,"")</f>
        <v/>
      </c>
      <c r="J10" s="201" t="str">
        <f>IF(COLUMN()&lt;=Mtotal,Design!K17,"")</f>
        <v/>
      </c>
      <c r="K10" s="201" t="str">
        <f>IF(COLUMN()&lt;=Mtotal,Design!L17,"")</f>
        <v/>
      </c>
      <c r="L10" s="201" t="str">
        <f>IF(COLUMN()&lt;=Mtotal,Design!M17,"")</f>
        <v/>
      </c>
    </row>
    <row r="11" spans="1:13" x14ac:dyDescent="0.2">
      <c r="A11" s="199" t="s">
        <v>106</v>
      </c>
      <c r="B11" s="202">
        <f ca="1">IF(COLUMN()&lt;=Mtotal,AVERAGE(OFFSET(Inventory!D8,1,0,nRuns,1)),"")</f>
        <v>0</v>
      </c>
      <c r="C11" s="202">
        <f ca="1">IF(COLUMN()&lt;=Mtotal,AVERAGE(OFFSET(Inventory!E8,1,0,nRuns,1)),"")</f>
        <v>0</v>
      </c>
      <c r="D11" s="202">
        <f ca="1">IF(COLUMN()&lt;=Mtotal,AVERAGE(OFFSET(Inventory!F8,1,0,nRuns,1)),"")</f>
        <v>0</v>
      </c>
      <c r="E11" s="202" t="str">
        <f ca="1">IF(COLUMN()&lt;=Mtotal,AVERAGE(OFFSET(Inventory!G8,1,0,nRuns,1)),"")</f>
        <v/>
      </c>
      <c r="F11" s="202" t="str">
        <f ca="1">IF(COLUMN()&lt;=Mtotal,AVERAGE(OFFSET(Inventory!H8,1,0,nRuns,1)),"")</f>
        <v/>
      </c>
      <c r="G11" s="202" t="str">
        <f ca="1">IF(COLUMN()&lt;=Mtotal,AVERAGE(OFFSET(Inventory!I8,1,0,nRuns,1)),"")</f>
        <v/>
      </c>
      <c r="H11" s="202" t="str">
        <f ca="1">IF(COLUMN()&lt;=Mtotal,AVERAGE(OFFSET(Inventory!J8,1,0,nRuns,1)),"")</f>
        <v/>
      </c>
      <c r="I11" s="202" t="str">
        <f ca="1">IF(COLUMN()&lt;=Mtotal,AVERAGE(OFFSET(Inventory!K8,1,0,nRuns,1)),"")</f>
        <v/>
      </c>
      <c r="J11" s="202" t="str">
        <f ca="1">IF(COLUMN()&lt;=Mtotal,AVERAGE(OFFSET(Inventory!L8,1,0,nRuns,1)),"")</f>
        <v/>
      </c>
      <c r="K11" s="202" t="str">
        <f ca="1">IF(COLUMN()&lt;=Mtotal,AVERAGE(OFFSET(Inventory!M8,1,0,nRuns,1)),"")</f>
        <v/>
      </c>
      <c r="L11" s="202" t="str">
        <f ca="1">IF(COLUMN()&lt;=Mtotal,AVERAGE(OFFSET(Inventory!N8,1,0,nRuns,1)),"")</f>
        <v/>
      </c>
    </row>
    <row r="12" spans="1:13" x14ac:dyDescent="0.2">
      <c r="A12" s="199" t="s">
        <v>107</v>
      </c>
      <c r="B12" s="161">
        <f ca="1">IF(COLUMN()&lt;=Mtotal,MIN(OFFSET(Inventory!Z8,1,0,nRuns,1)),"")</f>
        <v>0</v>
      </c>
      <c r="C12" s="161">
        <f ca="1">IF(COLUMN()&lt;=Mtotal,MIN(OFFSET(Inventory!AA8,1,0,nRuns,1)),"")</f>
        <v>0</v>
      </c>
      <c r="D12" s="161">
        <f ca="1">IF(COLUMN()&lt;=Mtotal,MIN(OFFSET(Inventory!AB8,1,0,nRuns,1)),"")</f>
        <v>0</v>
      </c>
      <c r="E12" s="161" t="str">
        <f ca="1">IF(COLUMN()&lt;=Mtotal,MIN(OFFSET(Inventory!AC8,1,0,nRuns,1)),"")</f>
        <v/>
      </c>
      <c r="F12" s="161" t="str">
        <f ca="1">IF(COLUMN()&lt;=Mtotal,MIN(OFFSET(Inventory!AD8,1,0,nRuns,1)),"")</f>
        <v/>
      </c>
      <c r="G12" s="161" t="str">
        <f ca="1">IF(COLUMN()&lt;=Mtotal,MIN(OFFSET(Inventory!AE8,1,0,nRuns,1)),"")</f>
        <v/>
      </c>
      <c r="H12" s="161" t="str">
        <f ca="1">IF(COLUMN()&lt;=Mtotal,MIN(OFFSET(Inventory!AF8,1,0,nRuns,1)),"")</f>
        <v/>
      </c>
      <c r="I12" s="161" t="str">
        <f ca="1">IF(COLUMN()&lt;=Mtotal,MIN(OFFSET(Inventory!AG8,1,0,nRuns,1)),"")</f>
        <v/>
      </c>
      <c r="J12" s="161" t="str">
        <f ca="1">IF(COLUMN()&lt;=Mtotal,MIN(OFFSET(Inventory!AH8,1,0,nRuns,1)),"")</f>
        <v/>
      </c>
      <c r="K12" s="161" t="str">
        <f ca="1">IF(COLUMN()&lt;=Mtotal,MIN(OFFSET(Inventory!AI8,1,0,nRuns,1)),"")</f>
        <v/>
      </c>
      <c r="L12" s="161" t="str">
        <f ca="1">IF(COLUMN()&lt;=Mtotal,MIN(OFFSET(Inventory!AJ8,1,0,nRuns,1)),"")</f>
        <v/>
      </c>
    </row>
    <row r="13" spans="1:13" x14ac:dyDescent="0.2">
      <c r="A13" s="199" t="s">
        <v>108</v>
      </c>
      <c r="B13" s="161">
        <f ca="1">IF(COLUMN()&lt;=Mtotal,MAX(OFFSET(Inventory!O8,1,0,nRuns,1)),"")</f>
        <v>0</v>
      </c>
      <c r="C13" s="161">
        <f ca="1">IF(COLUMN()&lt;=Mtotal,MAX(OFFSET(Inventory!P8,1,0,nRuns,1)),"")</f>
        <v>0</v>
      </c>
      <c r="D13" s="161">
        <f ca="1">IF(COLUMN()&lt;=Mtotal,MAX(OFFSET(Inventory!Q8,1,0,nRuns,1)),"")</f>
        <v>0</v>
      </c>
      <c r="E13" s="161" t="str">
        <f ca="1">IF(COLUMN()&lt;=Mtotal,MAX(OFFSET(Inventory!R8,1,0,nRuns,1)),"")</f>
        <v/>
      </c>
      <c r="F13" s="161" t="str">
        <f ca="1">IF(COLUMN()&lt;=Mtotal,MAX(OFFSET(Inventory!S8,1,0,nRuns,1)),"")</f>
        <v/>
      </c>
      <c r="G13" s="161" t="str">
        <f ca="1">IF(COLUMN()&lt;=Mtotal,MAX(OFFSET(Inventory!T8,1,0,nRuns,1)),"")</f>
        <v/>
      </c>
      <c r="H13" s="161" t="str">
        <f ca="1">IF(COLUMN()&lt;=Mtotal,MAX(OFFSET(Inventory!U8,1,0,nRuns,1)),"")</f>
        <v/>
      </c>
      <c r="I13" s="161" t="str">
        <f ca="1">IF(COLUMN()&lt;=Mtotal,MAX(OFFSET(Inventory!V8,1,0,nRuns,1)),"")</f>
        <v/>
      </c>
      <c r="J13" s="161" t="str">
        <f ca="1">IF(COLUMN()&lt;=Mtotal,MAX(OFFSET(Inventory!W8,1,0,nRuns,1)),"")</f>
        <v/>
      </c>
      <c r="K13" s="161" t="str">
        <f ca="1">IF(COLUMN()&lt;=Mtotal,MAX(OFFSET(Inventory!X8,1,0,nRuns,1)),"")</f>
        <v/>
      </c>
      <c r="L13" s="161" t="str">
        <f ca="1">IF(COLUMN()&lt;=Mtotal,MAX(OFFSET(Inventory!Y8,1,0,nRuns,1)),"")</f>
        <v/>
      </c>
    </row>
    <row r="14" spans="1:13" x14ac:dyDescent="0.2">
      <c r="A14" s="199" t="s">
        <v>86</v>
      </c>
      <c r="B14" s="161">
        <f>IF(COLUMN()&lt;=Mtotal,Design!C18,"")</f>
        <v>0</v>
      </c>
      <c r="C14" s="161">
        <f>IF(COLUMN()&lt;=Mtotal,Design!D18,"")</f>
        <v>0</v>
      </c>
      <c r="D14" s="161">
        <f>IF(COLUMN()&lt;=Mtotal,Design!E18,"")</f>
        <v>0</v>
      </c>
      <c r="E14" s="161" t="str">
        <f>IF(COLUMN()&lt;=Mtotal,Design!F18,"")</f>
        <v/>
      </c>
      <c r="F14" s="161" t="str">
        <f>IF(COLUMN()&lt;=Mtotal,Design!G18,"")</f>
        <v/>
      </c>
      <c r="G14" s="161" t="str">
        <f>IF(COLUMN()&lt;=Mtotal,Design!H18,"")</f>
        <v/>
      </c>
      <c r="H14" s="161" t="str">
        <f>IF(COLUMN()&lt;=Mtotal,Design!I18,"")</f>
        <v/>
      </c>
      <c r="I14" s="161" t="str">
        <f>IF(COLUMN()&lt;=Mtotal,Design!J18,"")</f>
        <v/>
      </c>
      <c r="J14" s="161" t="str">
        <f>IF(COLUMN()&lt;=Mtotal,Design!K18,"")</f>
        <v/>
      </c>
      <c r="K14" s="161" t="str">
        <f>IF(COLUMN()&lt;=Mtotal,Design!L18,"")</f>
        <v/>
      </c>
      <c r="L14" s="161" t="str">
        <f>IF(COLUMN()&lt;=Mtotal,Design!M18,"")</f>
        <v/>
      </c>
    </row>
    <row r="15" spans="1:13" x14ac:dyDescent="0.2">
      <c r="A15" s="197"/>
    </row>
    <row r="16" spans="1:13" x14ac:dyDescent="0.2">
      <c r="B16" s="201" t="s">
        <v>109</v>
      </c>
    </row>
    <row r="17" spans="1:2" x14ac:dyDescent="0.2">
      <c r="A17" s="199" t="s">
        <v>110</v>
      </c>
      <c r="B17" s="202">
        <f ca="1">SUM(OFFSET($B$8,0,0,1,Mtotal-1),OFFSET($B$11,0,0,1,Mtotal-1))</f>
        <v>0.60898010664505497</v>
      </c>
    </row>
    <row r="18" spans="1:2" x14ac:dyDescent="0.2">
      <c r="A18" s="199" t="s">
        <v>111</v>
      </c>
      <c r="B18" s="202">
        <f ca="1">SUM(OFFSET($B$6,0,0,1,Mtotal))</f>
        <v>2.8993111776773688</v>
      </c>
    </row>
    <row r="19" spans="1:2" x14ac:dyDescent="0.2">
      <c r="A19" s="199" t="s">
        <v>112</v>
      </c>
      <c r="B19" s="202">
        <f ca="1">B17+B18</f>
        <v>3.5082912843224237</v>
      </c>
    </row>
  </sheetData>
  <phoneticPr fontId="10" type="noConversion"/>
  <pageMargins left="0.75" right="0.75" top="1" bottom="1" header="0.5" footer="0.5"/>
  <pageSetup orientation="portrait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K395"/>
  <sheetViews>
    <sheetView topLeftCell="B1" zoomScale="75" workbookViewId="0">
      <pane xSplit="1" ySplit="7" topLeftCell="C8" activePane="bottomRight" state="frozen"/>
      <selection activeCell="B1" sqref="B1"/>
      <selection pane="topRight" activeCell="C1" sqref="C1"/>
      <selection pane="bottomLeft" activeCell="B8" sqref="B8"/>
      <selection pane="bottomRight" activeCell="E20" sqref="E20"/>
    </sheetView>
  </sheetViews>
  <sheetFormatPr defaultColWidth="11.42578125" defaultRowHeight="12.75" x14ac:dyDescent="0.2"/>
  <cols>
    <col min="1" max="1" width="9.140625" hidden="1" customWidth="1"/>
    <col min="2" max="2" width="14" style="24" customWidth="1"/>
    <col min="3" max="3" width="11.42578125" style="18" customWidth="1"/>
    <col min="4" max="4" width="11.42578125" style="17" customWidth="1"/>
    <col min="5" max="14" width="11.42578125" style="1" customWidth="1"/>
    <col min="15" max="15" width="11.42578125" style="17" customWidth="1"/>
    <col min="16" max="25" width="11.42578125" style="1" customWidth="1"/>
    <col min="26" max="26" width="11.42578125" style="17" customWidth="1"/>
    <col min="27" max="36" width="11.42578125" style="1" customWidth="1"/>
    <col min="37" max="37" width="11.42578125" style="17" customWidth="1"/>
    <col min="38" max="16384" width="11.42578125" style="1"/>
  </cols>
  <sheetData>
    <row r="1" spans="1:37" customFormat="1" x14ac:dyDescent="0.2">
      <c r="B1" s="22"/>
      <c r="C1" s="16" t="s">
        <v>114</v>
      </c>
      <c r="D1" s="19"/>
      <c r="E1" s="8"/>
      <c r="F1" s="8"/>
      <c r="G1" s="8"/>
      <c r="H1" s="8"/>
      <c r="I1" s="8"/>
      <c r="J1" s="8"/>
      <c r="K1" s="8"/>
      <c r="L1" s="8"/>
      <c r="M1" s="8"/>
      <c r="N1" s="8"/>
      <c r="O1" s="14" t="s">
        <v>115</v>
      </c>
      <c r="P1" s="9"/>
      <c r="Q1" s="9"/>
      <c r="R1" s="9"/>
      <c r="S1" s="9"/>
      <c r="T1" s="9"/>
      <c r="U1" s="9"/>
      <c r="V1" s="9"/>
      <c r="W1" s="9"/>
      <c r="X1" s="9"/>
      <c r="Y1" s="9"/>
      <c r="Z1" s="11" t="s">
        <v>116</v>
      </c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6"/>
    </row>
    <row r="2" spans="1:37" customFormat="1" x14ac:dyDescent="0.2">
      <c r="B2" s="22"/>
      <c r="C2" s="16"/>
      <c r="D2" s="19"/>
      <c r="E2" s="8"/>
      <c r="F2" s="8"/>
      <c r="G2" s="8"/>
      <c r="H2" s="8"/>
      <c r="I2" s="8"/>
      <c r="J2" s="8"/>
      <c r="K2" s="8"/>
      <c r="L2" s="8"/>
      <c r="M2" s="8"/>
      <c r="N2" s="8"/>
      <c r="O2" s="14"/>
      <c r="P2" s="9"/>
      <c r="Q2" s="9"/>
      <c r="R2" s="9"/>
      <c r="S2" s="9"/>
      <c r="T2" s="9"/>
      <c r="U2" s="9"/>
      <c r="V2" s="9"/>
      <c r="W2" s="9"/>
      <c r="X2" s="9"/>
      <c r="Y2" s="9"/>
      <c r="Z2" s="11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6"/>
    </row>
    <row r="3" spans="1:37" customFormat="1" ht="18" x14ac:dyDescent="0.25">
      <c r="B3" s="23" t="s">
        <v>99</v>
      </c>
      <c r="C3" s="16"/>
      <c r="D3" s="20"/>
      <c r="E3" s="8"/>
      <c r="F3" s="8"/>
      <c r="G3" s="8"/>
      <c r="H3" s="8"/>
      <c r="I3" s="8"/>
      <c r="J3" s="8"/>
      <c r="K3" s="8"/>
      <c r="L3" s="8"/>
      <c r="M3" s="8"/>
      <c r="N3" s="8"/>
      <c r="O3" s="15"/>
      <c r="P3" s="9"/>
      <c r="Q3" s="9"/>
      <c r="R3" s="9"/>
      <c r="S3" s="9"/>
      <c r="T3" s="9"/>
      <c r="U3" s="9"/>
      <c r="V3" s="9"/>
      <c r="W3" s="9"/>
      <c r="X3" s="9"/>
      <c r="Y3" s="9"/>
      <c r="Z3" s="12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6"/>
    </row>
    <row r="4" spans="1:37" customFormat="1" ht="18" x14ac:dyDescent="0.25">
      <c r="B4" s="23" t="s">
        <v>117</v>
      </c>
      <c r="C4" s="20" t="s">
        <v>118</v>
      </c>
      <c r="D4" s="19"/>
      <c r="E4" s="8"/>
      <c r="F4" s="8"/>
      <c r="G4" s="8"/>
      <c r="H4" s="8"/>
      <c r="I4" s="8"/>
      <c r="J4" s="8"/>
      <c r="K4" s="8"/>
      <c r="L4" s="8"/>
      <c r="M4" s="8"/>
      <c r="N4" s="103" t="s">
        <v>119</v>
      </c>
      <c r="O4" s="15" t="s">
        <v>120</v>
      </c>
      <c r="P4" s="9"/>
      <c r="Q4" s="9"/>
      <c r="R4" s="9"/>
      <c r="S4" s="9"/>
      <c r="T4" s="9"/>
      <c r="U4" s="9"/>
      <c r="V4" s="9"/>
      <c r="W4" s="9"/>
      <c r="X4" s="9"/>
      <c r="Y4" s="105" t="s">
        <v>121</v>
      </c>
      <c r="Z4" s="12" t="s">
        <v>122</v>
      </c>
      <c r="AA4" s="10"/>
      <c r="AB4" s="10"/>
      <c r="AC4" s="10"/>
      <c r="AD4" s="10"/>
      <c r="AE4" s="10"/>
      <c r="AF4" s="10"/>
      <c r="AG4" s="10"/>
      <c r="AH4" s="10"/>
      <c r="AI4" s="10"/>
      <c r="AJ4" s="104" t="s">
        <v>122</v>
      </c>
      <c r="AK4" s="6"/>
    </row>
    <row r="5" spans="1:37" customFormat="1" x14ac:dyDescent="0.2">
      <c r="B5" s="22"/>
      <c r="C5" s="16"/>
      <c r="D5" s="19"/>
      <c r="E5" s="8"/>
      <c r="F5" s="8"/>
      <c r="G5" s="8"/>
      <c r="H5" s="8"/>
      <c r="I5" s="8"/>
      <c r="J5" s="8"/>
      <c r="K5" s="8"/>
      <c r="L5" s="8"/>
      <c r="M5" s="8"/>
      <c r="N5" s="8"/>
      <c r="O5" s="14"/>
      <c r="P5" s="9"/>
      <c r="Q5" s="9"/>
      <c r="R5" s="9"/>
      <c r="S5" s="9"/>
      <c r="T5" s="9"/>
      <c r="U5" s="9"/>
      <c r="V5" s="9"/>
      <c r="W5" s="9"/>
      <c r="X5" s="9"/>
      <c r="Y5" s="9"/>
      <c r="Z5" s="11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6"/>
    </row>
    <row r="6" spans="1:37" s="115" customFormat="1" ht="15.75" thickBot="1" x14ac:dyDescent="0.25">
      <c r="A6" s="106"/>
      <c r="B6" s="107"/>
      <c r="C6" s="108" t="s">
        <v>112</v>
      </c>
      <c r="D6" s="109" t="str">
        <f>IF(Design!C17=""," ",Design!C17)</f>
        <v>Station 1's</v>
      </c>
      <c r="E6" s="109" t="str">
        <f>IF(Design!D17=""," ",Design!D17)</f>
        <v>Station 2's</v>
      </c>
      <c r="F6" s="109" t="str">
        <f>IF(Design!E17=""," ",Design!E17)</f>
        <v>M3's</v>
      </c>
      <c r="G6" s="109" t="str">
        <f>IF(Design!F17=""," ",Design!F17)</f>
        <v xml:space="preserve"> </v>
      </c>
      <c r="H6" s="109" t="str">
        <f>IF(Design!G17=""," ",Design!G17)</f>
        <v xml:space="preserve"> </v>
      </c>
      <c r="I6" s="109" t="str">
        <f>IF(Design!H17=""," ",Design!H17)</f>
        <v xml:space="preserve"> </v>
      </c>
      <c r="J6" s="109" t="str">
        <f>IF(Design!I17=""," ",Design!I17)</f>
        <v xml:space="preserve"> </v>
      </c>
      <c r="K6" s="109" t="str">
        <f>IF(Design!J17=""," ",Design!J17)</f>
        <v xml:space="preserve"> </v>
      </c>
      <c r="L6" s="109" t="str">
        <f>IF(Design!K17=""," ",Design!K17)</f>
        <v xml:space="preserve"> </v>
      </c>
      <c r="M6" s="109" t="str">
        <f>IF(Design!L17=""," ",Design!L17)</f>
        <v xml:space="preserve"> </v>
      </c>
      <c r="N6" s="109" t="str">
        <f>IF(Design!M17=""," ",Design!M17)</f>
        <v xml:space="preserve"> </v>
      </c>
      <c r="O6" s="110" t="str">
        <f t="shared" ref="O6:Y6" si="0">D6</f>
        <v>Station 1's</v>
      </c>
      <c r="P6" s="111" t="str">
        <f t="shared" si="0"/>
        <v>Station 2's</v>
      </c>
      <c r="Q6" s="111" t="str">
        <f t="shared" si="0"/>
        <v>M3's</v>
      </c>
      <c r="R6" s="111" t="str">
        <f t="shared" si="0"/>
        <v xml:space="preserve"> </v>
      </c>
      <c r="S6" s="111" t="str">
        <f t="shared" si="0"/>
        <v xml:space="preserve"> </v>
      </c>
      <c r="T6" s="111" t="str">
        <f t="shared" si="0"/>
        <v xml:space="preserve"> </v>
      </c>
      <c r="U6" s="111" t="str">
        <f t="shared" si="0"/>
        <v xml:space="preserve"> </v>
      </c>
      <c r="V6" s="111" t="str">
        <f t="shared" si="0"/>
        <v xml:space="preserve"> </v>
      </c>
      <c r="W6" s="111" t="str">
        <f t="shared" si="0"/>
        <v xml:space="preserve"> </v>
      </c>
      <c r="X6" s="111" t="str">
        <f t="shared" si="0"/>
        <v xml:space="preserve"> </v>
      </c>
      <c r="Y6" s="111" t="str">
        <f t="shared" si="0"/>
        <v xml:space="preserve"> </v>
      </c>
      <c r="Z6" s="112" t="str">
        <f t="shared" ref="Z6:AJ6" si="1">D6</f>
        <v>Station 1's</v>
      </c>
      <c r="AA6" s="113" t="str">
        <f t="shared" si="1"/>
        <v>Station 2's</v>
      </c>
      <c r="AB6" s="113" t="str">
        <f t="shared" si="1"/>
        <v>M3's</v>
      </c>
      <c r="AC6" s="113" t="str">
        <f t="shared" si="1"/>
        <v xml:space="preserve"> </v>
      </c>
      <c r="AD6" s="113" t="str">
        <f t="shared" si="1"/>
        <v xml:space="preserve"> </v>
      </c>
      <c r="AE6" s="113" t="str">
        <f t="shared" si="1"/>
        <v xml:space="preserve"> </v>
      </c>
      <c r="AF6" s="113" t="str">
        <f t="shared" si="1"/>
        <v xml:space="preserve"> </v>
      </c>
      <c r="AG6" s="113" t="str">
        <f t="shared" si="1"/>
        <v xml:space="preserve"> </v>
      </c>
      <c r="AH6" s="113" t="str">
        <f t="shared" si="1"/>
        <v xml:space="preserve"> </v>
      </c>
      <c r="AI6" s="113" t="str">
        <f t="shared" si="1"/>
        <v xml:space="preserve"> </v>
      </c>
      <c r="AJ6" s="113" t="str">
        <f t="shared" si="1"/>
        <v xml:space="preserve"> </v>
      </c>
      <c r="AK6" s="114"/>
    </row>
    <row r="7" spans="1:37" customFormat="1" ht="15" hidden="1" x14ac:dyDescent="0.2">
      <c r="B7" s="22"/>
      <c r="C7" s="18"/>
      <c r="D7" s="13"/>
      <c r="E7" s="3"/>
      <c r="F7" s="3"/>
      <c r="G7" s="3"/>
      <c r="H7" s="3"/>
      <c r="I7" s="3"/>
      <c r="J7" s="3"/>
      <c r="K7" s="3"/>
      <c r="L7" s="3"/>
      <c r="M7" s="3"/>
      <c r="N7" s="3"/>
      <c r="O7" s="13"/>
      <c r="P7" s="3"/>
      <c r="Q7" s="3"/>
      <c r="R7" s="3"/>
      <c r="S7" s="3"/>
      <c r="T7" s="3"/>
      <c r="U7" s="3"/>
      <c r="V7" s="3"/>
      <c r="W7" s="3"/>
      <c r="X7" s="3"/>
      <c r="Y7" s="3"/>
      <c r="Z7" s="13"/>
      <c r="AA7" s="3"/>
      <c r="AB7" s="3"/>
      <c r="AC7" s="3"/>
      <c r="AD7" s="3"/>
      <c r="AE7" s="3"/>
      <c r="AF7" s="3"/>
      <c r="AG7" s="3"/>
      <c r="AH7" s="3"/>
      <c r="AI7" s="3"/>
      <c r="AJ7" s="3"/>
      <c r="AK7" s="6"/>
    </row>
    <row r="8" spans="1:37" x14ac:dyDescent="0.2">
      <c r="B8" s="26">
        <v>0</v>
      </c>
      <c r="C8" s="25">
        <v>3.3279344797770847</v>
      </c>
      <c r="D8" s="17">
        <v>0</v>
      </c>
      <c r="E8" s="1">
        <v>0</v>
      </c>
      <c r="F8" s="1">
        <v>0</v>
      </c>
      <c r="O8" s="17">
        <v>0</v>
      </c>
      <c r="P8" s="1">
        <v>0</v>
      </c>
      <c r="Q8" s="1">
        <v>0</v>
      </c>
      <c r="Z8" s="17">
        <v>0</v>
      </c>
      <c r="AA8" s="1">
        <v>0</v>
      </c>
      <c r="AB8" s="1">
        <v>0</v>
      </c>
    </row>
    <row r="9" spans="1:37" x14ac:dyDescent="0.2">
      <c r="B9" s="24">
        <v>1</v>
      </c>
      <c r="C9" s="25">
        <v>3.4888897601547275</v>
      </c>
      <c r="D9" s="17">
        <v>0</v>
      </c>
      <c r="E9" s="1">
        <v>0</v>
      </c>
      <c r="F9" s="1">
        <v>0</v>
      </c>
      <c r="O9" s="17">
        <v>0</v>
      </c>
      <c r="P9" s="1">
        <v>0</v>
      </c>
      <c r="Q9" s="1">
        <v>0</v>
      </c>
      <c r="Z9" s="17">
        <v>0</v>
      </c>
      <c r="AA9" s="1">
        <v>0</v>
      </c>
      <c r="AB9" s="1">
        <v>0</v>
      </c>
    </row>
    <row r="10" spans="1:37" x14ac:dyDescent="0.2">
      <c r="B10" s="24">
        <v>2</v>
      </c>
      <c r="C10" s="25">
        <v>3.5199103305398536</v>
      </c>
      <c r="D10" s="17">
        <v>0</v>
      </c>
      <c r="E10" s="1">
        <v>0</v>
      </c>
      <c r="F10" s="1">
        <v>0</v>
      </c>
      <c r="O10" s="17">
        <v>0</v>
      </c>
      <c r="P10" s="1">
        <v>0</v>
      </c>
      <c r="Q10" s="1">
        <v>0</v>
      </c>
      <c r="Z10" s="17">
        <v>0</v>
      </c>
      <c r="AA10" s="1">
        <v>0</v>
      </c>
      <c r="AB10" s="1">
        <v>0</v>
      </c>
    </row>
    <row r="11" spans="1:37" x14ac:dyDescent="0.2">
      <c r="B11" s="24">
        <v>3</v>
      </c>
      <c r="C11" s="25">
        <v>3.5485275154589533</v>
      </c>
      <c r="D11" s="17">
        <v>0</v>
      </c>
      <c r="E11" s="1">
        <v>0</v>
      </c>
      <c r="F11" s="1">
        <v>0</v>
      </c>
      <c r="O11" s="17">
        <v>0</v>
      </c>
      <c r="P11" s="1">
        <v>0</v>
      </c>
      <c r="Q11" s="1">
        <v>0</v>
      </c>
      <c r="Z11" s="17">
        <v>0</v>
      </c>
      <c r="AA11" s="1">
        <v>0</v>
      </c>
      <c r="AB11" s="1">
        <v>0</v>
      </c>
    </row>
    <row r="12" spans="1:37" x14ac:dyDescent="0.2">
      <c r="B12" s="24">
        <v>4</v>
      </c>
      <c r="C12" s="25">
        <v>3.500594280442932</v>
      </c>
      <c r="D12" s="17">
        <v>0</v>
      </c>
      <c r="E12" s="1">
        <v>0</v>
      </c>
      <c r="F12" s="1">
        <v>0</v>
      </c>
      <c r="O12" s="17">
        <v>0</v>
      </c>
      <c r="P12" s="1">
        <v>0</v>
      </c>
      <c r="Q12" s="1">
        <v>0</v>
      </c>
      <c r="Z12" s="17">
        <v>0</v>
      </c>
      <c r="AA12" s="1">
        <v>0</v>
      </c>
      <c r="AB12" s="1">
        <v>0</v>
      </c>
    </row>
    <row r="13" spans="1:37" x14ac:dyDescent="0.2">
      <c r="B13" s="24">
        <v>5</v>
      </c>
      <c r="C13" s="25">
        <v>3.4835345350156515</v>
      </c>
      <c r="D13" s="17">
        <v>0</v>
      </c>
      <c r="E13" s="1">
        <v>0</v>
      </c>
      <c r="F13" s="1">
        <v>0</v>
      </c>
      <c r="O13" s="17">
        <v>0</v>
      </c>
      <c r="P13" s="1">
        <v>0</v>
      </c>
      <c r="Q13" s="1">
        <v>0</v>
      </c>
      <c r="Z13" s="17">
        <v>0</v>
      </c>
      <c r="AA13" s="1">
        <v>0</v>
      </c>
      <c r="AB13" s="1">
        <v>0</v>
      </c>
    </row>
    <row r="14" spans="1:37" x14ac:dyDescent="0.2">
      <c r="C14" s="25"/>
    </row>
    <row r="15" spans="1:37" x14ac:dyDescent="0.2">
      <c r="C15" s="25"/>
    </row>
    <row r="16" spans="1:37" x14ac:dyDescent="0.2">
      <c r="C16" s="25"/>
    </row>
    <row r="17" spans="3:3" x14ac:dyDescent="0.2">
      <c r="C17" s="25"/>
    </row>
    <row r="18" spans="3:3" x14ac:dyDescent="0.2">
      <c r="C18" s="25"/>
    </row>
    <row r="19" spans="3:3" x14ac:dyDescent="0.2">
      <c r="C19" s="25"/>
    </row>
    <row r="20" spans="3:3" x14ac:dyDescent="0.2">
      <c r="C20" s="25"/>
    </row>
    <row r="21" spans="3:3" x14ac:dyDescent="0.2">
      <c r="C21" s="25"/>
    </row>
    <row r="22" spans="3:3" x14ac:dyDescent="0.2">
      <c r="C22" s="25"/>
    </row>
    <row r="23" spans="3:3" x14ac:dyDescent="0.2">
      <c r="C23" s="25"/>
    </row>
    <row r="24" spans="3:3" x14ac:dyDescent="0.2">
      <c r="C24" s="25"/>
    </row>
    <row r="25" spans="3:3" x14ac:dyDescent="0.2">
      <c r="C25" s="25"/>
    </row>
    <row r="26" spans="3:3" x14ac:dyDescent="0.2">
      <c r="C26" s="25"/>
    </row>
    <row r="27" spans="3:3" x14ac:dyDescent="0.2">
      <c r="C27" s="25"/>
    </row>
    <row r="28" spans="3:3" x14ac:dyDescent="0.2">
      <c r="C28" s="25"/>
    </row>
    <row r="29" spans="3:3" x14ac:dyDescent="0.2">
      <c r="C29" s="25"/>
    </row>
    <row r="30" spans="3:3" x14ac:dyDescent="0.2">
      <c r="C30" s="25"/>
    </row>
    <row r="31" spans="3:3" x14ac:dyDescent="0.2">
      <c r="C31" s="25"/>
    </row>
    <row r="32" spans="3:3" x14ac:dyDescent="0.2">
      <c r="C32" s="25"/>
    </row>
    <row r="33" spans="3:3" x14ac:dyDescent="0.2">
      <c r="C33" s="25"/>
    </row>
    <row r="34" spans="3:3" x14ac:dyDescent="0.2">
      <c r="C34" s="25"/>
    </row>
    <row r="35" spans="3:3" x14ac:dyDescent="0.2">
      <c r="C35" s="25"/>
    </row>
    <row r="36" spans="3:3" x14ac:dyDescent="0.2">
      <c r="C36" s="25"/>
    </row>
    <row r="37" spans="3:3" x14ac:dyDescent="0.2">
      <c r="C37" s="25"/>
    </row>
    <row r="38" spans="3:3" x14ac:dyDescent="0.2">
      <c r="C38" s="25"/>
    </row>
    <row r="39" spans="3:3" x14ac:dyDescent="0.2">
      <c r="C39" s="25"/>
    </row>
    <row r="40" spans="3:3" x14ac:dyDescent="0.2">
      <c r="C40" s="25"/>
    </row>
    <row r="41" spans="3:3" x14ac:dyDescent="0.2">
      <c r="C41" s="25"/>
    </row>
    <row r="42" spans="3:3" x14ac:dyDescent="0.2">
      <c r="C42" s="25"/>
    </row>
    <row r="43" spans="3:3" x14ac:dyDescent="0.2">
      <c r="C43" s="25"/>
    </row>
    <row r="44" spans="3:3" x14ac:dyDescent="0.2">
      <c r="C44" s="25"/>
    </row>
    <row r="45" spans="3:3" x14ac:dyDescent="0.2">
      <c r="C45" s="25"/>
    </row>
    <row r="46" spans="3:3" x14ac:dyDescent="0.2">
      <c r="C46" s="25"/>
    </row>
    <row r="47" spans="3:3" x14ac:dyDescent="0.2">
      <c r="C47" s="25"/>
    </row>
    <row r="48" spans="3:3" x14ac:dyDescent="0.2">
      <c r="C48" s="25"/>
    </row>
    <row r="49" spans="3:3" x14ac:dyDescent="0.2">
      <c r="C49" s="25"/>
    </row>
    <row r="50" spans="3:3" x14ac:dyDescent="0.2">
      <c r="C50" s="25"/>
    </row>
    <row r="51" spans="3:3" x14ac:dyDescent="0.2">
      <c r="C51" s="25"/>
    </row>
    <row r="52" spans="3:3" x14ac:dyDescent="0.2">
      <c r="C52" s="25"/>
    </row>
    <row r="53" spans="3:3" x14ac:dyDescent="0.2">
      <c r="C53" s="25"/>
    </row>
    <row r="54" spans="3:3" x14ac:dyDescent="0.2">
      <c r="C54" s="25"/>
    </row>
    <row r="55" spans="3:3" x14ac:dyDescent="0.2">
      <c r="C55" s="25"/>
    </row>
    <row r="56" spans="3:3" x14ac:dyDescent="0.2">
      <c r="C56" s="25"/>
    </row>
    <row r="57" spans="3:3" x14ac:dyDescent="0.2">
      <c r="C57" s="25"/>
    </row>
    <row r="58" spans="3:3" x14ac:dyDescent="0.2">
      <c r="C58" s="25"/>
    </row>
    <row r="59" spans="3:3" x14ac:dyDescent="0.2">
      <c r="C59" s="25"/>
    </row>
    <row r="60" spans="3:3" x14ac:dyDescent="0.2">
      <c r="C60" s="25"/>
    </row>
    <row r="61" spans="3:3" x14ac:dyDescent="0.2">
      <c r="C61" s="25"/>
    </row>
    <row r="62" spans="3:3" x14ac:dyDescent="0.2">
      <c r="C62" s="25"/>
    </row>
    <row r="63" spans="3:3" x14ac:dyDescent="0.2">
      <c r="C63" s="25"/>
    </row>
    <row r="64" spans="3:3" x14ac:dyDescent="0.2">
      <c r="C64" s="25"/>
    </row>
    <row r="65" spans="3:3" x14ac:dyDescent="0.2">
      <c r="C65" s="25"/>
    </row>
    <row r="66" spans="3:3" x14ac:dyDescent="0.2">
      <c r="C66" s="25"/>
    </row>
    <row r="67" spans="3:3" x14ac:dyDescent="0.2">
      <c r="C67" s="25"/>
    </row>
    <row r="68" spans="3:3" x14ac:dyDescent="0.2">
      <c r="C68" s="25"/>
    </row>
    <row r="69" spans="3:3" x14ac:dyDescent="0.2">
      <c r="C69" s="25"/>
    </row>
    <row r="70" spans="3:3" x14ac:dyDescent="0.2">
      <c r="C70" s="25"/>
    </row>
    <row r="71" spans="3:3" x14ac:dyDescent="0.2">
      <c r="C71" s="25"/>
    </row>
    <row r="72" spans="3:3" x14ac:dyDescent="0.2">
      <c r="C72" s="25"/>
    </row>
    <row r="73" spans="3:3" x14ac:dyDescent="0.2">
      <c r="C73" s="25"/>
    </row>
    <row r="74" spans="3:3" x14ac:dyDescent="0.2">
      <c r="C74" s="25"/>
    </row>
    <row r="75" spans="3:3" x14ac:dyDescent="0.2">
      <c r="C75" s="25"/>
    </row>
    <row r="76" spans="3:3" x14ac:dyDescent="0.2">
      <c r="C76" s="25"/>
    </row>
    <row r="77" spans="3:3" x14ac:dyDescent="0.2">
      <c r="C77" s="25"/>
    </row>
    <row r="78" spans="3:3" x14ac:dyDescent="0.2">
      <c r="C78" s="25"/>
    </row>
    <row r="79" spans="3:3" x14ac:dyDescent="0.2">
      <c r="C79" s="25"/>
    </row>
    <row r="80" spans="3:3" x14ac:dyDescent="0.2">
      <c r="C80" s="25"/>
    </row>
    <row r="81" spans="3:3" x14ac:dyDescent="0.2">
      <c r="C81" s="25"/>
    </row>
    <row r="82" spans="3:3" x14ac:dyDescent="0.2">
      <c r="C82" s="25"/>
    </row>
    <row r="83" spans="3:3" x14ac:dyDescent="0.2">
      <c r="C83" s="25"/>
    </row>
    <row r="84" spans="3:3" x14ac:dyDescent="0.2">
      <c r="C84" s="25"/>
    </row>
    <row r="85" spans="3:3" x14ac:dyDescent="0.2">
      <c r="C85" s="25"/>
    </row>
    <row r="86" spans="3:3" x14ac:dyDescent="0.2">
      <c r="C86" s="25"/>
    </row>
    <row r="87" spans="3:3" x14ac:dyDescent="0.2">
      <c r="C87" s="25"/>
    </row>
    <row r="88" spans="3:3" x14ac:dyDescent="0.2">
      <c r="C88" s="25"/>
    </row>
    <row r="89" spans="3:3" x14ac:dyDescent="0.2">
      <c r="C89" s="25"/>
    </row>
    <row r="90" spans="3:3" x14ac:dyDescent="0.2">
      <c r="C90" s="25"/>
    </row>
    <row r="91" spans="3:3" x14ac:dyDescent="0.2">
      <c r="C91" s="25"/>
    </row>
    <row r="92" spans="3:3" x14ac:dyDescent="0.2">
      <c r="C92" s="25"/>
    </row>
    <row r="93" spans="3:3" x14ac:dyDescent="0.2">
      <c r="C93" s="25"/>
    </row>
    <row r="94" spans="3:3" x14ac:dyDescent="0.2">
      <c r="C94" s="25"/>
    </row>
    <row r="95" spans="3:3" x14ac:dyDescent="0.2">
      <c r="C95" s="25"/>
    </row>
    <row r="96" spans="3:3" x14ac:dyDescent="0.2">
      <c r="C96" s="25"/>
    </row>
    <row r="97" spans="3:3" x14ac:dyDescent="0.2">
      <c r="C97" s="25"/>
    </row>
    <row r="98" spans="3:3" x14ac:dyDescent="0.2">
      <c r="C98" s="25"/>
    </row>
    <row r="99" spans="3:3" x14ac:dyDescent="0.2">
      <c r="C99" s="25"/>
    </row>
    <row r="100" spans="3:3" x14ac:dyDescent="0.2">
      <c r="C100" s="25"/>
    </row>
    <row r="101" spans="3:3" x14ac:dyDescent="0.2">
      <c r="C101" s="25"/>
    </row>
    <row r="102" spans="3:3" x14ac:dyDescent="0.2">
      <c r="C102" s="25"/>
    </row>
    <row r="103" spans="3:3" x14ac:dyDescent="0.2">
      <c r="C103" s="25"/>
    </row>
    <row r="104" spans="3:3" x14ac:dyDescent="0.2">
      <c r="C104" s="25"/>
    </row>
    <row r="105" spans="3:3" x14ac:dyDescent="0.2">
      <c r="C105" s="25"/>
    </row>
    <row r="106" spans="3:3" x14ac:dyDescent="0.2">
      <c r="C106" s="25"/>
    </row>
    <row r="107" spans="3:3" x14ac:dyDescent="0.2">
      <c r="C107" s="25"/>
    </row>
    <row r="108" spans="3:3" x14ac:dyDescent="0.2">
      <c r="C108" s="25"/>
    </row>
    <row r="109" spans="3:3" x14ac:dyDescent="0.2">
      <c r="C109" s="25"/>
    </row>
    <row r="110" spans="3:3" x14ac:dyDescent="0.2">
      <c r="C110" s="25"/>
    </row>
    <row r="111" spans="3:3" x14ac:dyDescent="0.2">
      <c r="C111" s="25"/>
    </row>
    <row r="112" spans="3:3" x14ac:dyDescent="0.2">
      <c r="C112" s="25"/>
    </row>
    <row r="113" spans="3:3" x14ac:dyDescent="0.2">
      <c r="C113" s="25"/>
    </row>
    <row r="114" spans="3:3" x14ac:dyDescent="0.2">
      <c r="C114" s="25"/>
    </row>
    <row r="115" spans="3:3" x14ac:dyDescent="0.2">
      <c r="C115" s="25"/>
    </row>
    <row r="116" spans="3:3" x14ac:dyDescent="0.2">
      <c r="C116" s="25"/>
    </row>
    <row r="117" spans="3:3" x14ac:dyDescent="0.2">
      <c r="C117" s="25"/>
    </row>
    <row r="118" spans="3:3" x14ac:dyDescent="0.2">
      <c r="C118" s="25"/>
    </row>
    <row r="119" spans="3:3" x14ac:dyDescent="0.2">
      <c r="C119" s="25"/>
    </row>
    <row r="120" spans="3:3" x14ac:dyDescent="0.2">
      <c r="C120" s="25"/>
    </row>
    <row r="121" spans="3:3" x14ac:dyDescent="0.2">
      <c r="C121" s="25"/>
    </row>
    <row r="122" spans="3:3" x14ac:dyDescent="0.2">
      <c r="C122" s="25"/>
    </row>
    <row r="123" spans="3:3" x14ac:dyDescent="0.2">
      <c r="C123" s="25"/>
    </row>
    <row r="124" spans="3:3" x14ac:dyDescent="0.2">
      <c r="C124" s="25"/>
    </row>
    <row r="125" spans="3:3" x14ac:dyDescent="0.2">
      <c r="C125" s="25"/>
    </row>
    <row r="126" spans="3:3" x14ac:dyDescent="0.2">
      <c r="C126" s="25"/>
    </row>
    <row r="127" spans="3:3" x14ac:dyDescent="0.2">
      <c r="C127" s="25"/>
    </row>
    <row r="128" spans="3:3" x14ac:dyDescent="0.2">
      <c r="C128" s="25"/>
    </row>
    <row r="129" spans="3:3" x14ac:dyDescent="0.2">
      <c r="C129" s="25"/>
    </row>
    <row r="130" spans="3:3" x14ac:dyDescent="0.2">
      <c r="C130" s="25"/>
    </row>
    <row r="131" spans="3:3" x14ac:dyDescent="0.2">
      <c r="C131" s="25"/>
    </row>
    <row r="132" spans="3:3" x14ac:dyDescent="0.2">
      <c r="C132" s="25"/>
    </row>
    <row r="133" spans="3:3" x14ac:dyDescent="0.2">
      <c r="C133" s="25"/>
    </row>
    <row r="134" spans="3:3" x14ac:dyDescent="0.2">
      <c r="C134" s="25"/>
    </row>
    <row r="135" spans="3:3" x14ac:dyDescent="0.2">
      <c r="C135" s="25"/>
    </row>
    <row r="136" spans="3:3" x14ac:dyDescent="0.2">
      <c r="C136" s="25"/>
    </row>
    <row r="137" spans="3:3" x14ac:dyDescent="0.2">
      <c r="C137" s="25"/>
    </row>
    <row r="138" spans="3:3" x14ac:dyDescent="0.2">
      <c r="C138" s="25"/>
    </row>
    <row r="139" spans="3:3" x14ac:dyDescent="0.2">
      <c r="C139" s="25"/>
    </row>
    <row r="140" spans="3:3" x14ac:dyDescent="0.2">
      <c r="C140" s="25"/>
    </row>
    <row r="141" spans="3:3" x14ac:dyDescent="0.2">
      <c r="C141" s="25"/>
    </row>
    <row r="142" spans="3:3" x14ac:dyDescent="0.2">
      <c r="C142" s="25"/>
    </row>
    <row r="143" spans="3:3" x14ac:dyDescent="0.2">
      <c r="C143" s="25"/>
    </row>
    <row r="144" spans="3:3" x14ac:dyDescent="0.2">
      <c r="C144" s="25"/>
    </row>
    <row r="145" spans="3:3" x14ac:dyDescent="0.2">
      <c r="C145" s="25"/>
    </row>
    <row r="146" spans="3:3" x14ac:dyDescent="0.2">
      <c r="C146" s="25"/>
    </row>
    <row r="147" spans="3:3" x14ac:dyDescent="0.2">
      <c r="C147" s="25"/>
    </row>
    <row r="148" spans="3:3" x14ac:dyDescent="0.2">
      <c r="C148" s="25"/>
    </row>
    <row r="149" spans="3:3" x14ac:dyDescent="0.2">
      <c r="C149" s="25"/>
    </row>
    <row r="150" spans="3:3" x14ac:dyDescent="0.2">
      <c r="C150" s="25"/>
    </row>
    <row r="151" spans="3:3" x14ac:dyDescent="0.2">
      <c r="C151" s="25"/>
    </row>
    <row r="152" spans="3:3" x14ac:dyDescent="0.2">
      <c r="C152" s="25"/>
    </row>
    <row r="153" spans="3:3" x14ac:dyDescent="0.2">
      <c r="C153" s="25"/>
    </row>
    <row r="154" spans="3:3" x14ac:dyDescent="0.2">
      <c r="C154" s="25"/>
    </row>
    <row r="155" spans="3:3" x14ac:dyDescent="0.2">
      <c r="C155" s="25"/>
    </row>
    <row r="156" spans="3:3" x14ac:dyDescent="0.2">
      <c r="C156" s="25"/>
    </row>
    <row r="157" spans="3:3" x14ac:dyDescent="0.2">
      <c r="C157" s="25"/>
    </row>
    <row r="158" spans="3:3" x14ac:dyDescent="0.2">
      <c r="C158" s="25"/>
    </row>
    <row r="159" spans="3:3" x14ac:dyDescent="0.2">
      <c r="C159" s="25"/>
    </row>
    <row r="160" spans="3:3" x14ac:dyDescent="0.2">
      <c r="C160" s="25"/>
    </row>
    <row r="161" spans="3:3" x14ac:dyDescent="0.2">
      <c r="C161" s="25"/>
    </row>
    <row r="162" spans="3:3" x14ac:dyDescent="0.2">
      <c r="C162" s="25"/>
    </row>
    <row r="163" spans="3:3" x14ac:dyDescent="0.2">
      <c r="C163" s="25"/>
    </row>
    <row r="164" spans="3:3" x14ac:dyDescent="0.2">
      <c r="C164" s="25"/>
    </row>
    <row r="165" spans="3:3" x14ac:dyDescent="0.2">
      <c r="C165" s="25"/>
    </row>
    <row r="166" spans="3:3" x14ac:dyDescent="0.2">
      <c r="C166" s="25"/>
    </row>
    <row r="167" spans="3:3" x14ac:dyDescent="0.2">
      <c r="C167" s="25"/>
    </row>
    <row r="168" spans="3:3" x14ac:dyDescent="0.2">
      <c r="C168" s="25"/>
    </row>
    <row r="169" spans="3:3" x14ac:dyDescent="0.2">
      <c r="C169" s="25"/>
    </row>
    <row r="170" spans="3:3" x14ac:dyDescent="0.2">
      <c r="C170" s="25"/>
    </row>
    <row r="171" spans="3:3" x14ac:dyDescent="0.2">
      <c r="C171" s="25"/>
    </row>
    <row r="172" spans="3:3" x14ac:dyDescent="0.2">
      <c r="C172" s="25"/>
    </row>
    <row r="173" spans="3:3" x14ac:dyDescent="0.2">
      <c r="C173" s="25"/>
    </row>
    <row r="174" spans="3:3" x14ac:dyDescent="0.2">
      <c r="C174" s="25"/>
    </row>
    <row r="175" spans="3:3" x14ac:dyDescent="0.2">
      <c r="C175" s="25"/>
    </row>
    <row r="176" spans="3:3" x14ac:dyDescent="0.2">
      <c r="C176" s="25"/>
    </row>
    <row r="177" spans="3:3" x14ac:dyDescent="0.2">
      <c r="C177" s="25"/>
    </row>
    <row r="178" spans="3:3" x14ac:dyDescent="0.2">
      <c r="C178" s="25"/>
    </row>
    <row r="179" spans="3:3" x14ac:dyDescent="0.2">
      <c r="C179" s="25"/>
    </row>
    <row r="180" spans="3:3" x14ac:dyDescent="0.2">
      <c r="C180" s="25"/>
    </row>
    <row r="181" spans="3:3" x14ac:dyDescent="0.2">
      <c r="C181" s="25"/>
    </row>
    <row r="182" spans="3:3" x14ac:dyDescent="0.2">
      <c r="C182" s="25"/>
    </row>
    <row r="183" spans="3:3" x14ac:dyDescent="0.2">
      <c r="C183" s="25"/>
    </row>
    <row r="184" spans="3:3" x14ac:dyDescent="0.2">
      <c r="C184" s="25"/>
    </row>
    <row r="185" spans="3:3" x14ac:dyDescent="0.2">
      <c r="C185" s="25"/>
    </row>
    <row r="186" spans="3:3" x14ac:dyDescent="0.2">
      <c r="C186" s="25"/>
    </row>
    <row r="187" spans="3:3" x14ac:dyDescent="0.2">
      <c r="C187" s="25"/>
    </row>
    <row r="188" spans="3:3" x14ac:dyDescent="0.2">
      <c r="C188" s="25"/>
    </row>
    <row r="189" spans="3:3" x14ac:dyDescent="0.2">
      <c r="C189" s="25"/>
    </row>
    <row r="190" spans="3:3" x14ac:dyDescent="0.2">
      <c r="C190" s="25"/>
    </row>
    <row r="191" spans="3:3" x14ac:dyDescent="0.2">
      <c r="C191" s="25"/>
    </row>
    <row r="192" spans="3:3" x14ac:dyDescent="0.2">
      <c r="C192" s="25"/>
    </row>
    <row r="193" spans="3:3" x14ac:dyDescent="0.2">
      <c r="C193" s="25"/>
    </row>
    <row r="194" spans="3:3" x14ac:dyDescent="0.2">
      <c r="C194" s="25"/>
    </row>
    <row r="195" spans="3:3" x14ac:dyDescent="0.2">
      <c r="C195" s="25"/>
    </row>
    <row r="196" spans="3:3" x14ac:dyDescent="0.2">
      <c r="C196" s="25"/>
    </row>
    <row r="197" spans="3:3" x14ac:dyDescent="0.2">
      <c r="C197" s="25"/>
    </row>
    <row r="198" spans="3:3" x14ac:dyDescent="0.2">
      <c r="C198" s="25"/>
    </row>
    <row r="199" spans="3:3" x14ac:dyDescent="0.2">
      <c r="C199" s="25"/>
    </row>
    <row r="200" spans="3:3" x14ac:dyDescent="0.2">
      <c r="C200" s="25"/>
    </row>
    <row r="201" spans="3:3" x14ac:dyDescent="0.2">
      <c r="C201" s="25"/>
    </row>
    <row r="202" spans="3:3" x14ac:dyDescent="0.2">
      <c r="C202" s="25"/>
    </row>
    <row r="203" spans="3:3" x14ac:dyDescent="0.2">
      <c r="C203" s="25"/>
    </row>
    <row r="204" spans="3:3" x14ac:dyDescent="0.2">
      <c r="C204" s="25"/>
    </row>
    <row r="205" spans="3:3" x14ac:dyDescent="0.2">
      <c r="C205" s="25"/>
    </row>
    <row r="206" spans="3:3" x14ac:dyDescent="0.2">
      <c r="C206" s="25"/>
    </row>
    <row r="207" spans="3:3" x14ac:dyDescent="0.2">
      <c r="C207" s="25"/>
    </row>
    <row r="208" spans="3:3" x14ac:dyDescent="0.2">
      <c r="C208" s="25"/>
    </row>
    <row r="209" spans="3:3" x14ac:dyDescent="0.2">
      <c r="C209" s="25"/>
    </row>
    <row r="210" spans="3:3" x14ac:dyDescent="0.2">
      <c r="C210" s="25"/>
    </row>
    <row r="211" spans="3:3" x14ac:dyDescent="0.2">
      <c r="C211" s="25"/>
    </row>
    <row r="212" spans="3:3" x14ac:dyDescent="0.2">
      <c r="C212" s="25"/>
    </row>
    <row r="213" spans="3:3" x14ac:dyDescent="0.2">
      <c r="C213" s="25"/>
    </row>
    <row r="214" spans="3:3" x14ac:dyDescent="0.2">
      <c r="C214" s="25"/>
    </row>
    <row r="215" spans="3:3" x14ac:dyDescent="0.2">
      <c r="C215" s="25"/>
    </row>
    <row r="216" spans="3:3" x14ac:dyDescent="0.2">
      <c r="C216" s="25"/>
    </row>
    <row r="217" spans="3:3" x14ac:dyDescent="0.2">
      <c r="C217" s="25"/>
    </row>
    <row r="218" spans="3:3" x14ac:dyDescent="0.2">
      <c r="C218" s="25"/>
    </row>
    <row r="219" spans="3:3" x14ac:dyDescent="0.2">
      <c r="C219" s="25"/>
    </row>
    <row r="220" spans="3:3" x14ac:dyDescent="0.2">
      <c r="C220" s="25"/>
    </row>
    <row r="221" spans="3:3" x14ac:dyDescent="0.2">
      <c r="C221" s="25"/>
    </row>
    <row r="222" spans="3:3" x14ac:dyDescent="0.2">
      <c r="C222" s="25"/>
    </row>
    <row r="223" spans="3:3" x14ac:dyDescent="0.2">
      <c r="C223" s="25"/>
    </row>
    <row r="224" spans="3:3" x14ac:dyDescent="0.2">
      <c r="C224" s="25"/>
    </row>
    <row r="225" spans="3:3" x14ac:dyDescent="0.2">
      <c r="C225" s="25"/>
    </row>
    <row r="226" spans="3:3" x14ac:dyDescent="0.2">
      <c r="C226" s="25"/>
    </row>
    <row r="227" spans="3:3" x14ac:dyDescent="0.2">
      <c r="C227" s="25"/>
    </row>
    <row r="228" spans="3:3" x14ac:dyDescent="0.2">
      <c r="C228" s="25"/>
    </row>
    <row r="229" spans="3:3" x14ac:dyDescent="0.2">
      <c r="C229" s="25"/>
    </row>
    <row r="230" spans="3:3" x14ac:dyDescent="0.2">
      <c r="C230" s="25"/>
    </row>
    <row r="231" spans="3:3" x14ac:dyDescent="0.2">
      <c r="C231" s="25"/>
    </row>
    <row r="232" spans="3:3" x14ac:dyDescent="0.2">
      <c r="C232" s="25"/>
    </row>
    <row r="233" spans="3:3" x14ac:dyDescent="0.2">
      <c r="C233" s="25"/>
    </row>
    <row r="234" spans="3:3" x14ac:dyDescent="0.2">
      <c r="C234" s="25"/>
    </row>
    <row r="235" spans="3:3" x14ac:dyDescent="0.2">
      <c r="C235" s="25"/>
    </row>
    <row r="236" spans="3:3" x14ac:dyDescent="0.2">
      <c r="C236" s="25"/>
    </row>
    <row r="237" spans="3:3" x14ac:dyDescent="0.2">
      <c r="C237" s="25"/>
    </row>
    <row r="238" spans="3:3" x14ac:dyDescent="0.2">
      <c r="C238" s="25"/>
    </row>
    <row r="239" spans="3:3" x14ac:dyDescent="0.2">
      <c r="C239" s="25"/>
    </row>
    <row r="240" spans="3:3" x14ac:dyDescent="0.2">
      <c r="C240" s="25"/>
    </row>
    <row r="241" spans="3:3" x14ac:dyDescent="0.2">
      <c r="C241" s="25"/>
    </row>
    <row r="242" spans="3:3" x14ac:dyDescent="0.2">
      <c r="C242" s="25"/>
    </row>
    <row r="243" spans="3:3" x14ac:dyDescent="0.2">
      <c r="C243" s="25"/>
    </row>
    <row r="244" spans="3:3" x14ac:dyDescent="0.2">
      <c r="C244" s="25"/>
    </row>
    <row r="245" spans="3:3" x14ac:dyDescent="0.2">
      <c r="C245" s="25"/>
    </row>
    <row r="246" spans="3:3" x14ac:dyDescent="0.2">
      <c r="C246" s="25"/>
    </row>
    <row r="247" spans="3:3" x14ac:dyDescent="0.2">
      <c r="C247" s="25"/>
    </row>
    <row r="248" spans="3:3" x14ac:dyDescent="0.2">
      <c r="C248" s="25"/>
    </row>
    <row r="249" spans="3:3" x14ac:dyDescent="0.2">
      <c r="C249" s="25"/>
    </row>
    <row r="250" spans="3:3" x14ac:dyDescent="0.2">
      <c r="C250" s="25"/>
    </row>
    <row r="251" spans="3:3" x14ac:dyDescent="0.2">
      <c r="C251" s="25"/>
    </row>
    <row r="252" spans="3:3" x14ac:dyDescent="0.2">
      <c r="C252" s="25"/>
    </row>
    <row r="253" spans="3:3" x14ac:dyDescent="0.2">
      <c r="C253" s="25"/>
    </row>
    <row r="254" spans="3:3" x14ac:dyDescent="0.2">
      <c r="C254" s="25"/>
    </row>
    <row r="255" spans="3:3" x14ac:dyDescent="0.2">
      <c r="C255" s="25"/>
    </row>
    <row r="256" spans="3:3" x14ac:dyDescent="0.2">
      <c r="C256" s="25"/>
    </row>
    <row r="257" spans="3:3" x14ac:dyDescent="0.2">
      <c r="C257" s="25"/>
    </row>
    <row r="258" spans="3:3" x14ac:dyDescent="0.2">
      <c r="C258" s="25"/>
    </row>
    <row r="259" spans="3:3" x14ac:dyDescent="0.2">
      <c r="C259" s="25"/>
    </row>
    <row r="260" spans="3:3" x14ac:dyDescent="0.2">
      <c r="C260" s="25"/>
    </row>
    <row r="261" spans="3:3" x14ac:dyDescent="0.2">
      <c r="C261" s="25"/>
    </row>
    <row r="262" spans="3:3" x14ac:dyDescent="0.2">
      <c r="C262" s="25"/>
    </row>
    <row r="263" spans="3:3" x14ac:dyDescent="0.2">
      <c r="C263" s="25"/>
    </row>
    <row r="264" spans="3:3" x14ac:dyDescent="0.2">
      <c r="C264" s="25"/>
    </row>
    <row r="265" spans="3:3" x14ac:dyDescent="0.2">
      <c r="C265" s="25"/>
    </row>
    <row r="266" spans="3:3" x14ac:dyDescent="0.2">
      <c r="C266" s="25"/>
    </row>
    <row r="267" spans="3:3" x14ac:dyDescent="0.2">
      <c r="C267" s="25"/>
    </row>
    <row r="268" spans="3:3" x14ac:dyDescent="0.2">
      <c r="C268" s="25"/>
    </row>
    <row r="269" spans="3:3" x14ac:dyDescent="0.2">
      <c r="C269" s="25"/>
    </row>
    <row r="270" spans="3:3" x14ac:dyDescent="0.2">
      <c r="C270" s="25"/>
    </row>
    <row r="271" spans="3:3" x14ac:dyDescent="0.2">
      <c r="C271" s="25"/>
    </row>
    <row r="272" spans="3:3" x14ac:dyDescent="0.2">
      <c r="C272" s="25"/>
    </row>
    <row r="273" spans="3:3" x14ac:dyDescent="0.2">
      <c r="C273" s="25"/>
    </row>
    <row r="274" spans="3:3" x14ac:dyDescent="0.2">
      <c r="C274" s="25"/>
    </row>
    <row r="275" spans="3:3" x14ac:dyDescent="0.2">
      <c r="C275" s="25"/>
    </row>
    <row r="276" spans="3:3" x14ac:dyDescent="0.2">
      <c r="C276" s="25"/>
    </row>
    <row r="277" spans="3:3" x14ac:dyDescent="0.2">
      <c r="C277" s="25"/>
    </row>
    <row r="278" spans="3:3" x14ac:dyDescent="0.2">
      <c r="C278" s="25"/>
    </row>
    <row r="279" spans="3:3" x14ac:dyDescent="0.2">
      <c r="C279" s="25"/>
    </row>
    <row r="280" spans="3:3" x14ac:dyDescent="0.2">
      <c r="C280" s="25"/>
    </row>
    <row r="281" spans="3:3" x14ac:dyDescent="0.2">
      <c r="C281" s="25"/>
    </row>
    <row r="282" spans="3:3" x14ac:dyDescent="0.2">
      <c r="C282" s="25"/>
    </row>
    <row r="283" spans="3:3" x14ac:dyDescent="0.2">
      <c r="C283" s="25"/>
    </row>
    <row r="284" spans="3:3" x14ac:dyDescent="0.2">
      <c r="C284" s="25"/>
    </row>
    <row r="285" spans="3:3" x14ac:dyDescent="0.2">
      <c r="C285" s="25"/>
    </row>
    <row r="286" spans="3:3" x14ac:dyDescent="0.2">
      <c r="C286" s="25"/>
    </row>
    <row r="287" spans="3:3" x14ac:dyDescent="0.2">
      <c r="C287" s="25"/>
    </row>
    <row r="288" spans="3:3" x14ac:dyDescent="0.2">
      <c r="C288" s="25"/>
    </row>
    <row r="289" spans="3:3" x14ac:dyDescent="0.2">
      <c r="C289" s="25"/>
    </row>
    <row r="290" spans="3:3" x14ac:dyDescent="0.2">
      <c r="C290" s="25"/>
    </row>
    <row r="291" spans="3:3" x14ac:dyDescent="0.2">
      <c r="C291" s="25"/>
    </row>
    <row r="292" spans="3:3" x14ac:dyDescent="0.2">
      <c r="C292" s="25"/>
    </row>
    <row r="293" spans="3:3" x14ac:dyDescent="0.2">
      <c r="C293" s="25"/>
    </row>
    <row r="294" spans="3:3" x14ac:dyDescent="0.2">
      <c r="C294" s="25"/>
    </row>
    <row r="295" spans="3:3" x14ac:dyDescent="0.2">
      <c r="C295" s="25"/>
    </row>
    <row r="296" spans="3:3" x14ac:dyDescent="0.2">
      <c r="C296" s="25"/>
    </row>
    <row r="297" spans="3:3" x14ac:dyDescent="0.2">
      <c r="C297" s="25"/>
    </row>
    <row r="298" spans="3:3" x14ac:dyDescent="0.2">
      <c r="C298" s="25"/>
    </row>
    <row r="299" spans="3:3" x14ac:dyDescent="0.2">
      <c r="C299" s="25"/>
    </row>
    <row r="300" spans="3:3" x14ac:dyDescent="0.2">
      <c r="C300" s="25"/>
    </row>
    <row r="301" spans="3:3" x14ac:dyDescent="0.2">
      <c r="C301" s="25"/>
    </row>
    <row r="302" spans="3:3" x14ac:dyDescent="0.2">
      <c r="C302" s="25"/>
    </row>
    <row r="303" spans="3:3" x14ac:dyDescent="0.2">
      <c r="C303" s="25"/>
    </row>
    <row r="304" spans="3:3" x14ac:dyDescent="0.2">
      <c r="C304" s="25"/>
    </row>
    <row r="305" spans="3:3" x14ac:dyDescent="0.2">
      <c r="C305" s="25"/>
    </row>
    <row r="306" spans="3:3" x14ac:dyDescent="0.2">
      <c r="C306" s="25"/>
    </row>
    <row r="307" spans="3:3" x14ac:dyDescent="0.2">
      <c r="C307" s="25"/>
    </row>
    <row r="308" spans="3:3" x14ac:dyDescent="0.2">
      <c r="C308" s="25"/>
    </row>
    <row r="309" spans="3:3" x14ac:dyDescent="0.2">
      <c r="C309" s="25"/>
    </row>
    <row r="310" spans="3:3" x14ac:dyDescent="0.2">
      <c r="C310" s="25"/>
    </row>
    <row r="311" spans="3:3" x14ac:dyDescent="0.2">
      <c r="C311" s="25"/>
    </row>
    <row r="312" spans="3:3" x14ac:dyDescent="0.2">
      <c r="C312" s="25"/>
    </row>
    <row r="313" spans="3:3" x14ac:dyDescent="0.2">
      <c r="C313" s="25"/>
    </row>
    <row r="314" spans="3:3" x14ac:dyDescent="0.2">
      <c r="C314" s="25"/>
    </row>
    <row r="315" spans="3:3" x14ac:dyDescent="0.2">
      <c r="C315" s="25"/>
    </row>
    <row r="316" spans="3:3" x14ac:dyDescent="0.2">
      <c r="C316" s="25"/>
    </row>
    <row r="317" spans="3:3" x14ac:dyDescent="0.2">
      <c r="C317" s="25"/>
    </row>
    <row r="318" spans="3:3" x14ac:dyDescent="0.2">
      <c r="C318" s="25"/>
    </row>
    <row r="319" spans="3:3" x14ac:dyDescent="0.2">
      <c r="C319" s="25"/>
    </row>
    <row r="320" spans="3:3" x14ac:dyDescent="0.2">
      <c r="C320" s="25"/>
    </row>
    <row r="321" spans="3:3" x14ac:dyDescent="0.2">
      <c r="C321" s="25"/>
    </row>
    <row r="322" spans="3:3" x14ac:dyDescent="0.2">
      <c r="C322" s="25"/>
    </row>
    <row r="323" spans="3:3" x14ac:dyDescent="0.2">
      <c r="C323" s="25"/>
    </row>
    <row r="324" spans="3:3" x14ac:dyDescent="0.2">
      <c r="C324" s="25"/>
    </row>
    <row r="325" spans="3:3" x14ac:dyDescent="0.2">
      <c r="C325" s="25"/>
    </row>
    <row r="326" spans="3:3" x14ac:dyDescent="0.2">
      <c r="C326" s="25"/>
    </row>
    <row r="327" spans="3:3" x14ac:dyDescent="0.2">
      <c r="C327" s="25"/>
    </row>
    <row r="328" spans="3:3" x14ac:dyDescent="0.2">
      <c r="C328" s="25"/>
    </row>
    <row r="329" spans="3:3" x14ac:dyDescent="0.2">
      <c r="C329" s="25"/>
    </row>
    <row r="330" spans="3:3" x14ac:dyDescent="0.2">
      <c r="C330" s="25"/>
    </row>
    <row r="331" spans="3:3" x14ac:dyDescent="0.2">
      <c r="C331" s="25"/>
    </row>
    <row r="332" spans="3:3" x14ac:dyDescent="0.2">
      <c r="C332" s="25"/>
    </row>
    <row r="333" spans="3:3" x14ac:dyDescent="0.2">
      <c r="C333" s="25"/>
    </row>
    <row r="334" spans="3:3" x14ac:dyDescent="0.2">
      <c r="C334" s="25"/>
    </row>
    <row r="335" spans="3:3" x14ac:dyDescent="0.2">
      <c r="C335" s="25"/>
    </row>
    <row r="336" spans="3:3" x14ac:dyDescent="0.2">
      <c r="C336" s="25"/>
    </row>
    <row r="337" spans="3:3" x14ac:dyDescent="0.2">
      <c r="C337" s="25"/>
    </row>
    <row r="338" spans="3:3" x14ac:dyDescent="0.2">
      <c r="C338" s="25"/>
    </row>
    <row r="339" spans="3:3" x14ac:dyDescent="0.2">
      <c r="C339" s="25"/>
    </row>
    <row r="340" spans="3:3" x14ac:dyDescent="0.2">
      <c r="C340" s="25"/>
    </row>
    <row r="341" spans="3:3" x14ac:dyDescent="0.2">
      <c r="C341" s="25"/>
    </row>
    <row r="342" spans="3:3" x14ac:dyDescent="0.2">
      <c r="C342" s="25"/>
    </row>
    <row r="343" spans="3:3" x14ac:dyDescent="0.2">
      <c r="C343" s="25"/>
    </row>
    <row r="344" spans="3:3" x14ac:dyDescent="0.2">
      <c r="C344" s="25"/>
    </row>
    <row r="345" spans="3:3" x14ac:dyDescent="0.2">
      <c r="C345" s="25"/>
    </row>
    <row r="346" spans="3:3" x14ac:dyDescent="0.2">
      <c r="C346" s="25"/>
    </row>
    <row r="347" spans="3:3" x14ac:dyDescent="0.2">
      <c r="C347" s="25"/>
    </row>
    <row r="348" spans="3:3" x14ac:dyDescent="0.2">
      <c r="C348" s="25"/>
    </row>
    <row r="349" spans="3:3" x14ac:dyDescent="0.2">
      <c r="C349" s="25"/>
    </row>
    <row r="350" spans="3:3" x14ac:dyDescent="0.2">
      <c r="C350" s="25"/>
    </row>
    <row r="351" spans="3:3" x14ac:dyDescent="0.2">
      <c r="C351" s="25"/>
    </row>
    <row r="352" spans="3:3" x14ac:dyDescent="0.2">
      <c r="C352" s="25"/>
    </row>
    <row r="353" spans="3:3" x14ac:dyDescent="0.2">
      <c r="C353" s="25"/>
    </row>
    <row r="354" spans="3:3" x14ac:dyDescent="0.2">
      <c r="C354" s="25"/>
    </row>
    <row r="355" spans="3:3" x14ac:dyDescent="0.2">
      <c r="C355" s="25"/>
    </row>
    <row r="356" spans="3:3" x14ac:dyDescent="0.2">
      <c r="C356" s="25"/>
    </row>
    <row r="357" spans="3:3" x14ac:dyDescent="0.2">
      <c r="C357" s="25"/>
    </row>
    <row r="358" spans="3:3" x14ac:dyDescent="0.2">
      <c r="C358" s="25"/>
    </row>
    <row r="359" spans="3:3" x14ac:dyDescent="0.2">
      <c r="C359" s="25"/>
    </row>
    <row r="360" spans="3:3" x14ac:dyDescent="0.2">
      <c r="C360" s="25"/>
    </row>
    <row r="361" spans="3:3" x14ac:dyDescent="0.2">
      <c r="C361" s="25"/>
    </row>
    <row r="362" spans="3:3" x14ac:dyDescent="0.2">
      <c r="C362" s="25"/>
    </row>
    <row r="363" spans="3:3" x14ac:dyDescent="0.2">
      <c r="C363" s="25"/>
    </row>
    <row r="364" spans="3:3" x14ac:dyDescent="0.2">
      <c r="C364" s="25"/>
    </row>
    <row r="365" spans="3:3" x14ac:dyDescent="0.2">
      <c r="C365" s="25"/>
    </row>
    <row r="366" spans="3:3" x14ac:dyDescent="0.2">
      <c r="C366" s="25"/>
    </row>
    <row r="367" spans="3:3" x14ac:dyDescent="0.2">
      <c r="C367" s="25"/>
    </row>
    <row r="368" spans="3:3" x14ac:dyDescent="0.2">
      <c r="C368" s="25"/>
    </row>
    <row r="369" spans="3:3" x14ac:dyDescent="0.2">
      <c r="C369" s="25"/>
    </row>
    <row r="370" spans="3:3" x14ac:dyDescent="0.2">
      <c r="C370" s="25"/>
    </row>
    <row r="371" spans="3:3" x14ac:dyDescent="0.2">
      <c r="C371" s="25"/>
    </row>
    <row r="372" spans="3:3" x14ac:dyDescent="0.2">
      <c r="C372" s="25"/>
    </row>
    <row r="373" spans="3:3" x14ac:dyDescent="0.2">
      <c r="C373" s="25"/>
    </row>
    <row r="374" spans="3:3" x14ac:dyDescent="0.2">
      <c r="C374" s="25"/>
    </row>
    <row r="375" spans="3:3" x14ac:dyDescent="0.2">
      <c r="C375" s="25"/>
    </row>
    <row r="376" spans="3:3" x14ac:dyDescent="0.2">
      <c r="C376" s="25"/>
    </row>
    <row r="377" spans="3:3" x14ac:dyDescent="0.2">
      <c r="C377" s="25"/>
    </row>
    <row r="378" spans="3:3" x14ac:dyDescent="0.2">
      <c r="C378" s="25"/>
    </row>
    <row r="379" spans="3:3" x14ac:dyDescent="0.2">
      <c r="C379" s="25"/>
    </row>
    <row r="380" spans="3:3" x14ac:dyDescent="0.2">
      <c r="C380" s="25"/>
    </row>
    <row r="381" spans="3:3" x14ac:dyDescent="0.2">
      <c r="C381" s="25"/>
    </row>
    <row r="382" spans="3:3" x14ac:dyDescent="0.2">
      <c r="C382" s="25"/>
    </row>
    <row r="383" spans="3:3" x14ac:dyDescent="0.2">
      <c r="C383" s="25"/>
    </row>
    <row r="384" spans="3:3" x14ac:dyDescent="0.2">
      <c r="C384" s="25"/>
    </row>
    <row r="385" spans="3:3" x14ac:dyDescent="0.2">
      <c r="C385" s="25"/>
    </row>
    <row r="386" spans="3:3" x14ac:dyDescent="0.2">
      <c r="C386" s="25"/>
    </row>
    <row r="387" spans="3:3" x14ac:dyDescent="0.2">
      <c r="C387" s="25"/>
    </row>
    <row r="388" spans="3:3" x14ac:dyDescent="0.2">
      <c r="C388" s="25"/>
    </row>
    <row r="389" spans="3:3" x14ac:dyDescent="0.2">
      <c r="C389" s="25"/>
    </row>
    <row r="390" spans="3:3" x14ac:dyDescent="0.2">
      <c r="C390" s="25"/>
    </row>
    <row r="391" spans="3:3" x14ac:dyDescent="0.2">
      <c r="C391" s="25"/>
    </row>
    <row r="392" spans="3:3" x14ac:dyDescent="0.2">
      <c r="C392" s="25"/>
    </row>
    <row r="393" spans="3:3" x14ac:dyDescent="0.2">
      <c r="C393" s="25"/>
    </row>
    <row r="394" spans="3:3" x14ac:dyDescent="0.2">
      <c r="C394" s="25"/>
    </row>
    <row r="395" spans="3:3" x14ac:dyDescent="0.2">
      <c r="C395" s="25"/>
    </row>
  </sheetData>
  <phoneticPr fontId="10" type="noConversion"/>
  <pageMargins left="0.75" right="0.75" top="1" bottom="1" header="0.5" footer="0.5"/>
  <pageSetup orientation="portrait" horizontalDpi="300" verticalDpi="300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Line="0" autoPict="0" macro="[0]!showInv">
                <anchor moveWithCells="1" sizeWithCells="1">
                  <from>
                    <xdr:col>1</xdr:col>
                    <xdr:colOff>104775</xdr:colOff>
                    <xdr:row>4</xdr:row>
                    <xdr:rowOff>9525</xdr:rowOff>
                  </from>
                  <to>
                    <xdr:col>1</xdr:col>
                    <xdr:colOff>809625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Y107"/>
  <sheetViews>
    <sheetView zoomScale="7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C9" sqref="C9:C13"/>
    </sheetView>
  </sheetViews>
  <sheetFormatPr defaultColWidth="11.42578125" defaultRowHeight="12.75" x14ac:dyDescent="0.2"/>
  <cols>
    <col min="1" max="1" width="13.42578125" style="26" customWidth="1"/>
    <col min="2" max="3" width="11.42578125" style="21" customWidth="1"/>
    <col min="4" max="15" width="11.42578125" style="2" customWidth="1"/>
    <col min="16" max="27" width="0" style="2" hidden="1" customWidth="1"/>
    <col min="28" max="16384" width="11.42578125" style="2"/>
  </cols>
  <sheetData>
    <row r="1" spans="1:51" x14ac:dyDescent="0.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</row>
    <row r="2" spans="1:51" ht="18" x14ac:dyDescent="0.25">
      <c r="A2" s="32" t="s">
        <v>123</v>
      </c>
      <c r="B2" s="5"/>
      <c r="C2" s="33"/>
      <c r="D2" s="33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3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35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6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</row>
    <row r="3" spans="1:51" ht="18" x14ac:dyDescent="0.25">
      <c r="A3" s="32" t="s">
        <v>117</v>
      </c>
      <c r="B3" s="5"/>
      <c r="C3" s="5"/>
      <c r="D3" s="5"/>
      <c r="E3" s="37"/>
      <c r="F3" s="37"/>
      <c r="G3" s="37"/>
      <c r="H3" s="37"/>
      <c r="I3" s="37"/>
      <c r="J3" s="37"/>
      <c r="K3" s="5"/>
      <c r="L3" s="5"/>
      <c r="M3" s="5"/>
      <c r="N3" s="5"/>
      <c r="O3" s="5"/>
      <c r="P3" s="4"/>
      <c r="Q3" s="38"/>
      <c r="R3" s="38"/>
      <c r="S3" s="38"/>
      <c r="T3" s="38"/>
      <c r="U3" s="38"/>
      <c r="V3" s="38"/>
      <c r="W3" s="4"/>
      <c r="X3" s="4"/>
      <c r="Y3" s="4"/>
      <c r="Z3" s="4"/>
      <c r="AA3" s="4"/>
      <c r="AB3" s="30"/>
      <c r="AC3" s="39"/>
      <c r="AD3" s="39"/>
      <c r="AE3" s="39"/>
      <c r="AF3" s="39"/>
      <c r="AG3" s="39"/>
      <c r="AH3" s="39"/>
      <c r="AI3" s="30"/>
      <c r="AJ3" s="30"/>
      <c r="AK3" s="30"/>
      <c r="AL3" s="30"/>
      <c r="AM3" s="30"/>
      <c r="AN3" s="31"/>
      <c r="AO3" s="40"/>
      <c r="AP3" s="40"/>
      <c r="AQ3" s="40"/>
      <c r="AR3" s="40"/>
      <c r="AS3" s="40"/>
      <c r="AT3" s="40"/>
      <c r="AU3" s="31"/>
      <c r="AV3" s="31"/>
      <c r="AW3" s="31"/>
      <c r="AX3" s="31"/>
      <c r="AY3" s="31"/>
    </row>
    <row r="4" spans="1:51" ht="15.75" x14ac:dyDescent="0.25">
      <c r="B4" s="33" t="s">
        <v>124</v>
      </c>
      <c r="C4" s="5"/>
      <c r="D4" s="5"/>
      <c r="E4" s="37"/>
      <c r="F4" s="37"/>
      <c r="G4" s="37"/>
      <c r="H4" s="37"/>
      <c r="I4" s="37"/>
      <c r="J4" s="37"/>
      <c r="K4" s="5"/>
      <c r="L4" s="5"/>
      <c r="M4" s="5"/>
      <c r="N4" s="5"/>
      <c r="O4" s="125" t="s">
        <v>125</v>
      </c>
      <c r="P4" s="34" t="s">
        <v>126</v>
      </c>
      <c r="Q4" s="38"/>
      <c r="R4" s="38"/>
      <c r="S4" s="38"/>
      <c r="T4" s="38"/>
      <c r="U4" s="38"/>
      <c r="V4" s="38"/>
      <c r="W4" s="4"/>
      <c r="X4" s="4"/>
      <c r="Y4" s="4"/>
      <c r="Z4" s="4"/>
      <c r="AA4" s="124" t="s">
        <v>127</v>
      </c>
      <c r="AB4" s="35" t="s">
        <v>128</v>
      </c>
      <c r="AC4" s="39"/>
      <c r="AD4" s="39"/>
      <c r="AE4" s="39"/>
      <c r="AF4" s="39"/>
      <c r="AG4" s="39"/>
      <c r="AH4" s="39"/>
      <c r="AI4" s="30"/>
      <c r="AJ4" s="30"/>
      <c r="AK4" s="30"/>
      <c r="AL4" s="30"/>
      <c r="AM4" s="123" t="s">
        <v>129</v>
      </c>
      <c r="AN4" s="36" t="s">
        <v>130</v>
      </c>
      <c r="AO4" s="40"/>
      <c r="AP4" s="40"/>
      <c r="AQ4" s="40"/>
      <c r="AR4" s="40"/>
      <c r="AS4" s="40"/>
      <c r="AT4" s="40"/>
      <c r="AU4" s="31"/>
      <c r="AV4" s="31"/>
      <c r="AW4" s="31"/>
      <c r="AX4" s="31"/>
      <c r="AY4" s="122" t="s">
        <v>131</v>
      </c>
    </row>
    <row r="5" spans="1:51" x14ac:dyDescent="0.2">
      <c r="B5" s="5"/>
      <c r="C5" s="5"/>
      <c r="D5" s="5"/>
      <c r="E5" s="37"/>
      <c r="F5" s="37"/>
      <c r="G5" s="37"/>
      <c r="H5" s="37"/>
      <c r="I5" s="37"/>
      <c r="J5" s="37"/>
      <c r="K5" s="5"/>
      <c r="L5" s="5"/>
      <c r="M5" s="5"/>
      <c r="N5" s="5"/>
      <c r="O5" s="5"/>
      <c r="P5" s="4"/>
      <c r="Q5" s="38"/>
      <c r="R5" s="38"/>
      <c r="S5" s="38"/>
      <c r="T5" s="38"/>
      <c r="U5" s="38"/>
      <c r="V5" s="38"/>
      <c r="W5" s="4"/>
      <c r="X5" s="4"/>
      <c r="Y5" s="4"/>
      <c r="Z5" s="4"/>
      <c r="AA5" s="4"/>
      <c r="AB5" s="30"/>
      <c r="AC5" s="39"/>
      <c r="AD5" s="39"/>
      <c r="AE5" s="39"/>
      <c r="AF5" s="39"/>
      <c r="AG5" s="39"/>
      <c r="AH5" s="39"/>
      <c r="AI5" s="30"/>
      <c r="AJ5" s="30"/>
      <c r="AK5" s="30"/>
      <c r="AL5" s="30"/>
      <c r="AM5" s="30"/>
      <c r="AN5" s="31"/>
      <c r="AO5" s="40"/>
      <c r="AP5" s="40"/>
      <c r="AQ5" s="40"/>
      <c r="AR5" s="40"/>
      <c r="AS5" s="40"/>
      <c r="AT5" s="40"/>
      <c r="AU5" s="31"/>
      <c r="AV5" s="31"/>
      <c r="AW5" s="31"/>
      <c r="AX5" s="31"/>
      <c r="AY5" s="31"/>
    </row>
    <row r="6" spans="1:51" s="121" customFormat="1" ht="15.75" thickBot="1" x14ac:dyDescent="0.25">
      <c r="A6" s="116"/>
      <c r="B6" s="117" t="s">
        <v>132</v>
      </c>
      <c r="C6" s="117" t="s">
        <v>98</v>
      </c>
      <c r="D6" s="117" t="str">
        <f>IF(Design!C6=""," ",Design!C6)</f>
        <v>Station 1</v>
      </c>
      <c r="E6" s="117" t="str">
        <f>IF(Design!D6=""," ",Design!D6)</f>
        <v>Station 2</v>
      </c>
      <c r="F6" s="117" t="str">
        <f>IF(Design!E6=""," ",Design!E6)</f>
        <v>M3</v>
      </c>
      <c r="G6" s="117" t="str">
        <f>IF(Design!F6=""," ",Design!F6)</f>
        <v>M4</v>
      </c>
      <c r="H6" s="117" t="str">
        <f>IF(Design!G6=""," ",Design!G6)</f>
        <v xml:space="preserve"> </v>
      </c>
      <c r="I6" s="117" t="str">
        <f>IF(Design!H6=""," ",Design!H6)</f>
        <v xml:space="preserve"> </v>
      </c>
      <c r="J6" s="117" t="str">
        <f>IF(Design!I6=""," ",Design!I6)</f>
        <v xml:space="preserve"> </v>
      </c>
      <c r="K6" s="117" t="str">
        <f>IF(Design!J6=""," ",Design!J6)</f>
        <v xml:space="preserve"> </v>
      </c>
      <c r="L6" s="117" t="str">
        <f>IF(Design!K6=""," ",Design!K6)</f>
        <v xml:space="preserve"> </v>
      </c>
      <c r="M6" s="117" t="str">
        <f>IF(Design!L6=""," ",Design!L6)</f>
        <v xml:space="preserve"> </v>
      </c>
      <c r="N6" s="117" t="str">
        <f>IF(Design!M6=""," ",Design!M6)</f>
        <v xml:space="preserve"> </v>
      </c>
      <c r="O6" s="117" t="str">
        <f>IF(Design!N6=""," ",Design!N6)</f>
        <v xml:space="preserve"> </v>
      </c>
      <c r="P6" s="118" t="str">
        <f t="shared" ref="P6:AA6" si="0">D6</f>
        <v>Station 1</v>
      </c>
      <c r="Q6" s="118" t="str">
        <f t="shared" si="0"/>
        <v>Station 2</v>
      </c>
      <c r="R6" s="118" t="str">
        <f t="shared" si="0"/>
        <v>M3</v>
      </c>
      <c r="S6" s="118" t="str">
        <f t="shared" si="0"/>
        <v>M4</v>
      </c>
      <c r="T6" s="118" t="str">
        <f t="shared" si="0"/>
        <v xml:space="preserve"> </v>
      </c>
      <c r="U6" s="118" t="str">
        <f t="shared" si="0"/>
        <v xml:space="preserve"> </v>
      </c>
      <c r="V6" s="118" t="str">
        <f t="shared" si="0"/>
        <v xml:space="preserve"> </v>
      </c>
      <c r="W6" s="118" t="str">
        <f t="shared" si="0"/>
        <v xml:space="preserve"> </v>
      </c>
      <c r="X6" s="118" t="str">
        <f t="shared" si="0"/>
        <v xml:space="preserve"> </v>
      </c>
      <c r="Y6" s="118" t="str">
        <f t="shared" si="0"/>
        <v xml:space="preserve"> </v>
      </c>
      <c r="Z6" s="118" t="str">
        <f t="shared" si="0"/>
        <v xml:space="preserve"> </v>
      </c>
      <c r="AA6" s="118" t="str">
        <f t="shared" si="0"/>
        <v xml:space="preserve"> </v>
      </c>
      <c r="AB6" s="119" t="str">
        <f t="shared" ref="AB6:AM6" si="1">D6</f>
        <v>Station 1</v>
      </c>
      <c r="AC6" s="119" t="str">
        <f t="shared" si="1"/>
        <v>Station 2</v>
      </c>
      <c r="AD6" s="119" t="str">
        <f t="shared" si="1"/>
        <v>M3</v>
      </c>
      <c r="AE6" s="119" t="str">
        <f t="shared" si="1"/>
        <v>M4</v>
      </c>
      <c r="AF6" s="119" t="str">
        <f t="shared" si="1"/>
        <v xml:space="preserve"> </v>
      </c>
      <c r="AG6" s="119" t="str">
        <f t="shared" si="1"/>
        <v xml:space="preserve"> </v>
      </c>
      <c r="AH6" s="119" t="str">
        <f t="shared" si="1"/>
        <v xml:space="preserve"> </v>
      </c>
      <c r="AI6" s="119" t="str">
        <f t="shared" si="1"/>
        <v xml:space="preserve"> </v>
      </c>
      <c r="AJ6" s="119" t="str">
        <f t="shared" si="1"/>
        <v xml:space="preserve"> </v>
      </c>
      <c r="AK6" s="119" t="str">
        <f t="shared" si="1"/>
        <v xml:space="preserve"> </v>
      </c>
      <c r="AL6" s="119" t="str">
        <f t="shared" si="1"/>
        <v xml:space="preserve"> </v>
      </c>
      <c r="AM6" s="119" t="str">
        <f t="shared" si="1"/>
        <v xml:space="preserve"> </v>
      </c>
      <c r="AN6" s="120" t="str">
        <f t="shared" ref="AN6:AY6" si="2">D6</f>
        <v>Station 1</v>
      </c>
      <c r="AO6" s="120" t="str">
        <f t="shared" si="2"/>
        <v>Station 2</v>
      </c>
      <c r="AP6" s="120" t="str">
        <f t="shared" si="2"/>
        <v>M3</v>
      </c>
      <c r="AQ6" s="120" t="str">
        <f t="shared" si="2"/>
        <v>M4</v>
      </c>
      <c r="AR6" s="120" t="str">
        <f t="shared" si="2"/>
        <v xml:space="preserve"> </v>
      </c>
      <c r="AS6" s="120" t="str">
        <f t="shared" si="2"/>
        <v xml:space="preserve"> </v>
      </c>
      <c r="AT6" s="120" t="str">
        <f t="shared" si="2"/>
        <v xml:space="preserve"> </v>
      </c>
      <c r="AU6" s="120" t="str">
        <f t="shared" si="2"/>
        <v xml:space="preserve"> </v>
      </c>
      <c r="AV6" s="120" t="str">
        <f t="shared" si="2"/>
        <v xml:space="preserve"> </v>
      </c>
      <c r="AW6" s="120" t="str">
        <f t="shared" si="2"/>
        <v xml:space="preserve"> </v>
      </c>
      <c r="AX6" s="120" t="str">
        <f t="shared" si="2"/>
        <v xml:space="preserve"> </v>
      </c>
      <c r="AY6" s="120" t="str">
        <f t="shared" si="2"/>
        <v xml:space="preserve"> </v>
      </c>
    </row>
    <row r="7" spans="1:51" hidden="1" x14ac:dyDescent="0.2">
      <c r="B7" s="41"/>
      <c r="C7" s="41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51" x14ac:dyDescent="0.2">
      <c r="A8" s="26">
        <v>0</v>
      </c>
      <c r="B8" s="21">
        <v>200</v>
      </c>
      <c r="C8" s="21">
        <v>13</v>
      </c>
      <c r="D8" s="190">
        <v>0.72481453834199372</v>
      </c>
      <c r="E8" s="190">
        <v>0.68240431472776575</v>
      </c>
      <c r="F8" s="190">
        <v>0.64260152236489743</v>
      </c>
      <c r="G8" s="190">
        <v>0.67070627332024491</v>
      </c>
      <c r="H8" s="190"/>
      <c r="I8" s="190"/>
      <c r="J8" s="190"/>
      <c r="K8" s="190"/>
      <c r="L8" s="190"/>
      <c r="M8" s="190"/>
      <c r="N8" s="190"/>
      <c r="O8" s="190"/>
      <c r="P8" s="2">
        <v>0</v>
      </c>
      <c r="Q8" s="2">
        <v>0</v>
      </c>
      <c r="R8" s="2">
        <v>0</v>
      </c>
      <c r="S8" s="2">
        <v>0</v>
      </c>
      <c r="AB8" s="2">
        <v>0.27518546165800634</v>
      </c>
      <c r="AC8" s="2">
        <v>0.21047218956161279</v>
      </c>
      <c r="AD8" s="2">
        <v>0.12175017980256396</v>
      </c>
      <c r="AE8" s="2">
        <v>0</v>
      </c>
      <c r="AN8" s="191">
        <v>0</v>
      </c>
      <c r="AO8" s="2">
        <v>0.10712349571062146</v>
      </c>
      <c r="AP8" s="2">
        <v>0.23564829783253868</v>
      </c>
      <c r="AQ8" s="2">
        <v>0.32929372667975515</v>
      </c>
    </row>
    <row r="9" spans="1:51" x14ac:dyDescent="0.2">
      <c r="A9" s="26">
        <v>1</v>
      </c>
      <c r="B9" s="21">
        <v>1000</v>
      </c>
      <c r="C9" s="21">
        <v>76</v>
      </c>
      <c r="D9" s="190">
        <v>0.72653462424671644</v>
      </c>
      <c r="E9" s="190">
        <v>0.7231706414561988</v>
      </c>
      <c r="F9" s="190">
        <v>0.7136785322291691</v>
      </c>
      <c r="G9" s="190">
        <v>0.7642807080975057</v>
      </c>
      <c r="H9" s="190"/>
      <c r="I9" s="190"/>
      <c r="J9" s="190"/>
      <c r="K9" s="190"/>
      <c r="L9" s="190"/>
      <c r="M9" s="190"/>
      <c r="N9" s="190"/>
      <c r="O9" s="190"/>
      <c r="P9" s="2">
        <v>0</v>
      </c>
      <c r="Q9" s="2">
        <v>0</v>
      </c>
      <c r="R9" s="2">
        <v>0</v>
      </c>
      <c r="S9" s="2">
        <v>0</v>
      </c>
      <c r="AB9" s="2">
        <v>0.27346537575328361</v>
      </c>
      <c r="AC9" s="2">
        <v>0.16784264290277331</v>
      </c>
      <c r="AD9" s="2">
        <v>0.1199172354690804</v>
      </c>
      <c r="AE9" s="2">
        <v>0</v>
      </c>
      <c r="AN9" s="2">
        <v>0</v>
      </c>
      <c r="AO9" s="2">
        <v>0.10898671564102784</v>
      </c>
      <c r="AP9" s="2">
        <v>0.16640423230175064</v>
      </c>
      <c r="AQ9" s="2">
        <v>0.2357192919024943</v>
      </c>
    </row>
    <row r="10" spans="1:51" x14ac:dyDescent="0.2">
      <c r="A10" s="26">
        <v>2</v>
      </c>
      <c r="B10" s="21">
        <v>1000</v>
      </c>
      <c r="C10" s="21">
        <v>73</v>
      </c>
      <c r="D10" s="190">
        <v>0.72570381961272667</v>
      </c>
      <c r="E10" s="190">
        <v>0.73832185715057108</v>
      </c>
      <c r="F10" s="190">
        <v>0.7250986897131827</v>
      </c>
      <c r="G10" s="190">
        <v>0.71865525188022317</v>
      </c>
      <c r="H10" s="190"/>
      <c r="I10" s="190"/>
      <c r="J10" s="190"/>
      <c r="K10" s="190"/>
      <c r="L10" s="190"/>
      <c r="M10" s="190"/>
      <c r="N10" s="190"/>
      <c r="O10" s="190"/>
      <c r="P10" s="2">
        <v>0</v>
      </c>
      <c r="Q10" s="2">
        <v>0</v>
      </c>
      <c r="R10" s="2">
        <v>0</v>
      </c>
      <c r="S10" s="2">
        <v>0</v>
      </c>
      <c r="AB10" s="2">
        <v>0.27429618038727338</v>
      </c>
      <c r="AC10" s="2">
        <v>0.21138364747528521</v>
      </c>
      <c r="AD10" s="2">
        <v>0.12645088432059173</v>
      </c>
      <c r="AE10" s="2">
        <v>0</v>
      </c>
      <c r="AN10" s="2">
        <v>0</v>
      </c>
      <c r="AO10" s="2">
        <v>5.0294495374143711E-2</v>
      </c>
      <c r="AP10" s="2">
        <v>0.14845042596622557</v>
      </c>
      <c r="AQ10" s="2">
        <v>0.28134474811977678</v>
      </c>
    </row>
    <row r="11" spans="1:51" x14ac:dyDescent="0.2">
      <c r="A11" s="26">
        <v>3</v>
      </c>
      <c r="B11" s="21">
        <v>1000</v>
      </c>
      <c r="C11" s="21">
        <v>73</v>
      </c>
      <c r="D11" s="190">
        <v>0.69550063253135019</v>
      </c>
      <c r="E11" s="190">
        <v>0.70505153684204203</v>
      </c>
      <c r="F11" s="190">
        <v>0.69162926996820673</v>
      </c>
      <c r="G11" s="190">
        <v>0.76506487782146726</v>
      </c>
      <c r="H11" s="190"/>
      <c r="I11" s="190"/>
      <c r="J11" s="190"/>
      <c r="K11" s="190"/>
      <c r="L11" s="190"/>
      <c r="M11" s="190"/>
      <c r="N11" s="190"/>
      <c r="O11" s="190"/>
      <c r="P11" s="2">
        <v>0</v>
      </c>
      <c r="Q11" s="2">
        <v>0</v>
      </c>
      <c r="R11" s="2">
        <v>0</v>
      </c>
      <c r="S11" s="2">
        <v>0</v>
      </c>
      <c r="AB11" s="2">
        <v>0.30449936746864981</v>
      </c>
      <c r="AC11" s="2">
        <v>0.21522144060850271</v>
      </c>
      <c r="AD11" s="2">
        <v>0.17156039021873448</v>
      </c>
      <c r="AE11" s="2">
        <v>0</v>
      </c>
      <c r="AN11" s="2">
        <v>0</v>
      </c>
      <c r="AO11" s="2">
        <v>7.9727022549455337E-2</v>
      </c>
      <c r="AP11" s="2">
        <v>0.13681033981305882</v>
      </c>
      <c r="AQ11" s="2">
        <v>0.23493512217853277</v>
      </c>
    </row>
    <row r="12" spans="1:51" x14ac:dyDescent="0.2">
      <c r="A12" s="26">
        <v>4</v>
      </c>
      <c r="B12" s="21">
        <v>1000</v>
      </c>
      <c r="C12" s="21">
        <v>70</v>
      </c>
      <c r="D12" s="190">
        <v>0.71376460427784338</v>
      </c>
      <c r="E12" s="190">
        <v>0.76937626278724935</v>
      </c>
      <c r="F12" s="190">
        <v>0.7295881251884061</v>
      </c>
      <c r="G12" s="190">
        <v>0.68804935884373342</v>
      </c>
      <c r="H12" s="190"/>
      <c r="I12" s="190"/>
      <c r="J12" s="190"/>
      <c r="K12" s="190"/>
      <c r="L12" s="190"/>
      <c r="M12" s="190"/>
      <c r="N12" s="190"/>
      <c r="O12" s="190"/>
      <c r="P12" s="2">
        <v>0</v>
      </c>
      <c r="Q12" s="2">
        <v>0</v>
      </c>
      <c r="R12" s="2">
        <v>0</v>
      </c>
      <c r="S12" s="2">
        <v>0</v>
      </c>
      <c r="AB12" s="2">
        <v>0.28623539572215667</v>
      </c>
      <c r="AC12" s="2">
        <v>0.18676971690974642</v>
      </c>
      <c r="AD12" s="2">
        <v>0.12681081671379707</v>
      </c>
      <c r="AE12" s="2">
        <v>0</v>
      </c>
      <c r="AN12" s="2">
        <v>0</v>
      </c>
      <c r="AO12" s="2">
        <v>4.3854020303004289E-2</v>
      </c>
      <c r="AP12" s="2">
        <v>0.1436010580977968</v>
      </c>
      <c r="AQ12" s="2">
        <v>0.31195064115626658</v>
      </c>
    </row>
    <row r="13" spans="1:51" x14ac:dyDescent="0.2">
      <c r="A13" s="26">
        <v>5</v>
      </c>
      <c r="B13" s="21">
        <v>1000</v>
      </c>
      <c r="C13" s="21">
        <v>71</v>
      </c>
      <c r="D13" s="190">
        <v>0.74091526062133295</v>
      </c>
      <c r="E13" s="190">
        <v>0.71375591220705248</v>
      </c>
      <c r="F13" s="190">
        <v>0.71021822152256209</v>
      </c>
      <c r="G13" s="190">
        <v>0.73819770138930385</v>
      </c>
      <c r="H13" s="190"/>
      <c r="I13" s="190"/>
      <c r="J13" s="190"/>
      <c r="K13" s="190"/>
      <c r="L13" s="190"/>
      <c r="M13" s="190"/>
      <c r="N13" s="190"/>
      <c r="O13" s="190"/>
      <c r="P13" s="2">
        <v>0</v>
      </c>
      <c r="Q13" s="2">
        <v>0</v>
      </c>
      <c r="R13" s="2">
        <v>0</v>
      </c>
      <c r="S13" s="2">
        <v>0</v>
      </c>
      <c r="AB13" s="2">
        <v>0.25908473937866711</v>
      </c>
      <c r="AC13" s="2">
        <v>0.17748516038141135</v>
      </c>
      <c r="AD13" s="2">
        <v>0.14387753951532159</v>
      </c>
      <c r="AE13" s="2">
        <v>0</v>
      </c>
      <c r="AN13" s="2">
        <v>0</v>
      </c>
      <c r="AO13" s="2">
        <v>0.10875892741153621</v>
      </c>
      <c r="AP13" s="2">
        <v>0.14590423896211632</v>
      </c>
      <c r="AQ13" s="2">
        <v>0.2618022986106962</v>
      </c>
    </row>
    <row r="14" spans="1:51" x14ac:dyDescent="0.2">
      <c r="D14" s="190"/>
      <c r="E14" s="190"/>
      <c r="F14" s="190"/>
      <c r="G14" s="190"/>
      <c r="H14" s="190"/>
      <c r="I14" s="190"/>
      <c r="J14" s="190"/>
      <c r="K14" s="190"/>
      <c r="L14" s="190"/>
      <c r="M14" s="190"/>
      <c r="N14" s="190"/>
      <c r="O14" s="190"/>
    </row>
    <row r="15" spans="1:51" x14ac:dyDescent="0.2">
      <c r="D15" s="190"/>
      <c r="E15" s="190"/>
      <c r="F15" s="190"/>
      <c r="G15" s="190"/>
      <c r="H15" s="190"/>
      <c r="I15" s="190"/>
      <c r="J15" s="190"/>
      <c r="K15" s="190"/>
      <c r="L15" s="190"/>
      <c r="M15" s="190"/>
      <c r="N15" s="190"/>
      <c r="O15" s="190"/>
    </row>
    <row r="16" spans="1:51" x14ac:dyDescent="0.2">
      <c r="D16" s="190"/>
      <c r="E16" s="190"/>
      <c r="F16" s="190"/>
      <c r="G16" s="190"/>
      <c r="H16" s="190"/>
      <c r="I16" s="190"/>
      <c r="J16" s="190"/>
      <c r="K16" s="190"/>
      <c r="L16" s="190"/>
      <c r="M16" s="190"/>
      <c r="N16" s="190"/>
      <c r="O16" s="190"/>
    </row>
    <row r="17" spans="4:15" x14ac:dyDescent="0.2">
      <c r="D17" s="190"/>
      <c r="E17" s="190"/>
      <c r="F17" s="190"/>
      <c r="G17" s="190"/>
      <c r="H17" s="190"/>
      <c r="I17" s="190"/>
      <c r="J17" s="190"/>
      <c r="K17" s="190"/>
      <c r="L17" s="190"/>
      <c r="M17" s="190"/>
      <c r="N17" s="190"/>
      <c r="O17" s="190"/>
    </row>
    <row r="18" spans="4:15" x14ac:dyDescent="0.2">
      <c r="D18" s="190"/>
      <c r="E18" s="190"/>
      <c r="F18" s="190"/>
      <c r="G18" s="190"/>
      <c r="H18" s="190"/>
      <c r="I18" s="190"/>
      <c r="J18" s="190"/>
      <c r="K18" s="190"/>
      <c r="L18" s="190"/>
      <c r="M18" s="190"/>
      <c r="N18" s="190"/>
      <c r="O18" s="190"/>
    </row>
    <row r="19" spans="4:15" x14ac:dyDescent="0.2"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0"/>
    </row>
    <row r="20" spans="4:15" x14ac:dyDescent="0.2">
      <c r="D20" s="190"/>
      <c r="E20" s="190"/>
      <c r="F20" s="190"/>
      <c r="G20" s="190"/>
      <c r="H20" s="190"/>
      <c r="I20" s="190"/>
      <c r="J20" s="190"/>
      <c r="K20" s="190"/>
      <c r="L20" s="190"/>
      <c r="M20" s="190"/>
      <c r="N20" s="190"/>
      <c r="O20" s="190"/>
    </row>
    <row r="21" spans="4:15" x14ac:dyDescent="0.2">
      <c r="D21" s="190"/>
      <c r="E21" s="190"/>
      <c r="F21" s="190"/>
      <c r="G21" s="190"/>
      <c r="H21" s="190"/>
      <c r="I21" s="190"/>
      <c r="J21" s="190"/>
      <c r="K21" s="190"/>
      <c r="L21" s="190"/>
      <c r="M21" s="190"/>
      <c r="N21" s="190"/>
      <c r="O21" s="190"/>
    </row>
    <row r="22" spans="4:15" x14ac:dyDescent="0.2">
      <c r="D22" s="190"/>
      <c r="E22" s="190"/>
      <c r="F22" s="190"/>
      <c r="G22" s="190"/>
      <c r="H22" s="190"/>
      <c r="I22" s="190"/>
      <c r="J22" s="190"/>
      <c r="K22" s="190"/>
      <c r="L22" s="190"/>
      <c r="M22" s="190"/>
      <c r="N22" s="190"/>
      <c r="O22" s="190"/>
    </row>
    <row r="23" spans="4:15" x14ac:dyDescent="0.2"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</row>
    <row r="24" spans="4:15" x14ac:dyDescent="0.2">
      <c r="D24" s="190"/>
      <c r="E24" s="190"/>
      <c r="F24" s="190"/>
      <c r="G24" s="190"/>
      <c r="H24" s="190"/>
      <c r="I24" s="190"/>
      <c r="J24" s="190"/>
      <c r="K24" s="190"/>
      <c r="L24" s="190"/>
      <c r="M24" s="190"/>
      <c r="N24" s="190"/>
      <c r="O24" s="190"/>
    </row>
    <row r="25" spans="4:15" x14ac:dyDescent="0.2">
      <c r="D25" s="190"/>
      <c r="E25" s="190"/>
      <c r="F25" s="190"/>
      <c r="G25" s="190"/>
      <c r="H25" s="190"/>
      <c r="I25" s="190"/>
      <c r="J25" s="190"/>
      <c r="K25" s="190"/>
      <c r="L25" s="190"/>
      <c r="M25" s="190"/>
      <c r="N25" s="190"/>
      <c r="O25" s="190"/>
    </row>
    <row r="26" spans="4:15" x14ac:dyDescent="0.2">
      <c r="D26" s="190"/>
      <c r="E26" s="190"/>
      <c r="F26" s="190"/>
      <c r="G26" s="190"/>
      <c r="H26" s="190"/>
      <c r="I26" s="190"/>
      <c r="J26" s="190"/>
      <c r="K26" s="190"/>
      <c r="L26" s="190"/>
      <c r="M26" s="190"/>
      <c r="N26" s="190"/>
      <c r="O26" s="190"/>
    </row>
    <row r="27" spans="4:15" x14ac:dyDescent="0.2"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</row>
    <row r="28" spans="4:15" x14ac:dyDescent="0.2">
      <c r="D28" s="190"/>
      <c r="E28" s="190"/>
      <c r="F28" s="190"/>
      <c r="G28" s="190"/>
      <c r="H28" s="190"/>
      <c r="I28" s="190"/>
      <c r="J28" s="190"/>
      <c r="K28" s="190"/>
      <c r="L28" s="190"/>
      <c r="M28" s="190"/>
      <c r="N28" s="190"/>
      <c r="O28" s="190"/>
    </row>
    <row r="29" spans="4:15" x14ac:dyDescent="0.2">
      <c r="D29" s="190"/>
      <c r="E29" s="190"/>
      <c r="F29" s="190"/>
      <c r="G29" s="190"/>
      <c r="H29" s="190"/>
      <c r="I29" s="190"/>
      <c r="J29" s="190"/>
      <c r="K29" s="190"/>
      <c r="L29" s="190"/>
      <c r="M29" s="190"/>
      <c r="N29" s="190"/>
      <c r="O29" s="190"/>
    </row>
    <row r="30" spans="4:15" x14ac:dyDescent="0.2">
      <c r="D30" s="190"/>
      <c r="E30" s="190"/>
      <c r="F30" s="190"/>
      <c r="G30" s="190"/>
      <c r="H30" s="190"/>
      <c r="I30" s="190"/>
      <c r="J30" s="190"/>
      <c r="K30" s="190"/>
      <c r="L30" s="190"/>
      <c r="M30" s="190"/>
      <c r="N30" s="190"/>
      <c r="O30" s="190"/>
    </row>
    <row r="31" spans="4:15" x14ac:dyDescent="0.2">
      <c r="D31" s="190"/>
      <c r="E31" s="190"/>
      <c r="F31" s="190"/>
      <c r="G31" s="190"/>
      <c r="H31" s="190"/>
      <c r="I31" s="190"/>
      <c r="J31" s="190"/>
      <c r="K31" s="190"/>
      <c r="L31" s="190"/>
      <c r="M31" s="190"/>
      <c r="N31" s="190"/>
      <c r="O31" s="190"/>
    </row>
    <row r="32" spans="4:15" x14ac:dyDescent="0.2">
      <c r="D32" s="190"/>
      <c r="E32" s="190"/>
      <c r="F32" s="190"/>
      <c r="G32" s="190"/>
      <c r="H32" s="190"/>
      <c r="I32" s="190"/>
      <c r="J32" s="190"/>
      <c r="K32" s="190"/>
      <c r="L32" s="190"/>
      <c r="M32" s="190"/>
      <c r="N32" s="190"/>
      <c r="O32" s="190"/>
    </row>
    <row r="33" spans="4:15" x14ac:dyDescent="0.2">
      <c r="D33" s="190"/>
      <c r="E33" s="190"/>
      <c r="F33" s="190"/>
      <c r="G33" s="190"/>
      <c r="H33" s="190"/>
      <c r="I33" s="190"/>
      <c r="J33" s="190"/>
      <c r="K33" s="190"/>
      <c r="L33" s="190"/>
      <c r="M33" s="190"/>
      <c r="N33" s="190"/>
      <c r="O33" s="190"/>
    </row>
    <row r="34" spans="4:15" x14ac:dyDescent="0.2"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</row>
    <row r="35" spans="4:15" x14ac:dyDescent="0.2">
      <c r="D35" s="190"/>
      <c r="E35" s="190"/>
      <c r="F35" s="190"/>
      <c r="G35" s="190"/>
      <c r="H35" s="190"/>
      <c r="I35" s="190"/>
      <c r="J35" s="190"/>
      <c r="K35" s="190"/>
      <c r="L35" s="190"/>
      <c r="M35" s="190"/>
      <c r="N35" s="190"/>
      <c r="O35" s="190"/>
    </row>
    <row r="36" spans="4:15" x14ac:dyDescent="0.2">
      <c r="D36" s="190"/>
      <c r="E36" s="190"/>
      <c r="F36" s="190"/>
      <c r="G36" s="190"/>
      <c r="H36" s="190"/>
      <c r="I36" s="190"/>
      <c r="J36" s="190"/>
      <c r="K36" s="190"/>
      <c r="L36" s="190"/>
      <c r="M36" s="190"/>
      <c r="N36" s="190"/>
      <c r="O36" s="190"/>
    </row>
    <row r="37" spans="4:15" x14ac:dyDescent="0.2">
      <c r="D37" s="190"/>
      <c r="E37" s="190"/>
      <c r="F37" s="190"/>
      <c r="G37" s="190"/>
      <c r="H37" s="190"/>
      <c r="I37" s="190"/>
      <c r="J37" s="190"/>
      <c r="K37" s="190"/>
      <c r="L37" s="190"/>
      <c r="M37" s="190"/>
      <c r="N37" s="190"/>
      <c r="O37" s="190"/>
    </row>
    <row r="38" spans="4:15" x14ac:dyDescent="0.2">
      <c r="D38" s="190"/>
      <c r="E38" s="190"/>
      <c r="F38" s="190"/>
      <c r="G38" s="190"/>
      <c r="H38" s="190"/>
      <c r="I38" s="190"/>
      <c r="J38" s="190"/>
      <c r="K38" s="190"/>
      <c r="L38" s="190"/>
      <c r="M38" s="190"/>
      <c r="N38" s="190"/>
      <c r="O38" s="190"/>
    </row>
    <row r="39" spans="4:15" x14ac:dyDescent="0.2">
      <c r="D39" s="190"/>
      <c r="E39" s="190"/>
      <c r="F39" s="190"/>
      <c r="G39" s="190"/>
      <c r="H39" s="190"/>
      <c r="I39" s="190"/>
      <c r="J39" s="190"/>
      <c r="K39" s="190"/>
      <c r="L39" s="190"/>
      <c r="M39" s="190"/>
      <c r="N39" s="190"/>
      <c r="O39" s="190"/>
    </row>
    <row r="40" spans="4:15" x14ac:dyDescent="0.2"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0"/>
    </row>
    <row r="41" spans="4:15" x14ac:dyDescent="0.2">
      <c r="D41" s="190"/>
      <c r="E41" s="190"/>
      <c r="F41" s="190"/>
      <c r="G41" s="190"/>
      <c r="H41" s="190"/>
      <c r="I41" s="190"/>
      <c r="J41" s="190"/>
      <c r="K41" s="190"/>
      <c r="L41" s="190"/>
      <c r="M41" s="190"/>
      <c r="N41" s="190"/>
      <c r="O41" s="190"/>
    </row>
    <row r="42" spans="4:15" x14ac:dyDescent="0.2">
      <c r="D42" s="190"/>
      <c r="E42" s="190"/>
      <c r="F42" s="190"/>
      <c r="G42" s="190"/>
      <c r="H42" s="190"/>
      <c r="I42" s="190"/>
      <c r="J42" s="190"/>
      <c r="K42" s="190"/>
      <c r="L42" s="190"/>
      <c r="M42" s="190"/>
      <c r="N42" s="190"/>
      <c r="O42" s="190"/>
    </row>
    <row r="43" spans="4:15" x14ac:dyDescent="0.2"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</row>
    <row r="44" spans="4:15" x14ac:dyDescent="0.2"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</row>
    <row r="45" spans="4:15" x14ac:dyDescent="0.2"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</row>
    <row r="46" spans="4:15" x14ac:dyDescent="0.2"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</row>
    <row r="47" spans="4:15" x14ac:dyDescent="0.2"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</row>
    <row r="48" spans="4:15" x14ac:dyDescent="0.2">
      <c r="D48" s="190"/>
      <c r="E48" s="190"/>
      <c r="F48" s="190"/>
      <c r="G48" s="190"/>
      <c r="H48" s="190"/>
      <c r="I48" s="190"/>
      <c r="J48" s="190"/>
      <c r="K48" s="190"/>
      <c r="L48" s="190"/>
      <c r="M48" s="190"/>
      <c r="N48" s="190"/>
      <c r="O48" s="190"/>
    </row>
    <row r="49" spans="4:15" x14ac:dyDescent="0.2">
      <c r="D49" s="190"/>
      <c r="E49" s="190"/>
      <c r="F49" s="190"/>
      <c r="G49" s="190"/>
      <c r="H49" s="190"/>
      <c r="I49" s="190"/>
      <c r="J49" s="190"/>
      <c r="K49" s="190"/>
      <c r="L49" s="190"/>
      <c r="M49" s="190"/>
      <c r="N49" s="190"/>
      <c r="O49" s="190"/>
    </row>
    <row r="50" spans="4:15" x14ac:dyDescent="0.2">
      <c r="D50" s="190"/>
      <c r="E50" s="190"/>
      <c r="F50" s="190"/>
      <c r="G50" s="190"/>
      <c r="H50" s="190"/>
      <c r="I50" s="190"/>
      <c r="J50" s="190"/>
      <c r="K50" s="190"/>
      <c r="L50" s="190"/>
      <c r="M50" s="190"/>
      <c r="N50" s="190"/>
      <c r="O50" s="190"/>
    </row>
    <row r="51" spans="4:15" x14ac:dyDescent="0.2"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</row>
    <row r="52" spans="4:15" x14ac:dyDescent="0.2"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</row>
    <row r="53" spans="4:15" x14ac:dyDescent="0.2"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</row>
    <row r="54" spans="4:15" x14ac:dyDescent="0.2">
      <c r="D54" s="190"/>
      <c r="E54" s="190"/>
      <c r="F54" s="190"/>
      <c r="G54" s="190"/>
      <c r="H54" s="190"/>
      <c r="I54" s="190"/>
      <c r="J54" s="190"/>
      <c r="K54" s="190"/>
      <c r="L54" s="190"/>
      <c r="M54" s="190"/>
      <c r="N54" s="190"/>
      <c r="O54" s="190"/>
    </row>
    <row r="55" spans="4:15" x14ac:dyDescent="0.2">
      <c r="D55" s="190"/>
      <c r="E55" s="190"/>
      <c r="F55" s="190"/>
      <c r="G55" s="190"/>
      <c r="H55" s="190"/>
      <c r="I55" s="190"/>
      <c r="J55" s="190"/>
      <c r="K55" s="190"/>
      <c r="L55" s="190"/>
      <c r="M55" s="190"/>
      <c r="N55" s="190"/>
      <c r="O55" s="190"/>
    </row>
    <row r="56" spans="4:15" x14ac:dyDescent="0.2">
      <c r="D56" s="190"/>
      <c r="E56" s="190"/>
      <c r="F56" s="190"/>
      <c r="G56" s="190"/>
      <c r="H56" s="190"/>
      <c r="I56" s="190"/>
      <c r="J56" s="190"/>
      <c r="K56" s="190"/>
      <c r="L56" s="190"/>
      <c r="M56" s="190"/>
      <c r="N56" s="190"/>
      <c r="O56" s="190"/>
    </row>
    <row r="57" spans="4:15" x14ac:dyDescent="0.2"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0"/>
    </row>
    <row r="58" spans="4:15" x14ac:dyDescent="0.2">
      <c r="D58" s="190"/>
      <c r="E58" s="190"/>
      <c r="F58" s="190"/>
      <c r="G58" s="190"/>
      <c r="H58" s="190"/>
      <c r="I58" s="190"/>
      <c r="J58" s="190"/>
      <c r="K58" s="190"/>
      <c r="L58" s="190"/>
      <c r="M58" s="190"/>
      <c r="N58" s="190"/>
      <c r="O58" s="190"/>
    </row>
    <row r="59" spans="4:15" x14ac:dyDescent="0.2">
      <c r="D59" s="19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</row>
    <row r="60" spans="4:15" x14ac:dyDescent="0.2">
      <c r="D60" s="190"/>
      <c r="E60" s="190"/>
      <c r="F60" s="190"/>
      <c r="G60" s="190"/>
      <c r="H60" s="190"/>
      <c r="I60" s="190"/>
      <c r="J60" s="190"/>
      <c r="K60" s="190"/>
      <c r="L60" s="190"/>
      <c r="M60" s="190"/>
      <c r="N60" s="190"/>
      <c r="O60" s="190"/>
    </row>
    <row r="61" spans="4:15" x14ac:dyDescent="0.2"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</row>
    <row r="62" spans="4:15" x14ac:dyDescent="0.2">
      <c r="D62" s="190"/>
      <c r="E62" s="190"/>
      <c r="F62" s="190"/>
      <c r="G62" s="190"/>
      <c r="H62" s="190"/>
      <c r="I62" s="190"/>
      <c r="J62" s="190"/>
      <c r="K62" s="190"/>
      <c r="L62" s="190"/>
      <c r="M62" s="190"/>
      <c r="N62" s="190"/>
      <c r="O62" s="190"/>
    </row>
    <row r="63" spans="4:15" x14ac:dyDescent="0.2">
      <c r="D63" s="190"/>
      <c r="E63" s="190"/>
      <c r="F63" s="190"/>
      <c r="G63" s="190"/>
      <c r="H63" s="190"/>
      <c r="I63" s="190"/>
      <c r="J63" s="190"/>
      <c r="K63" s="190"/>
      <c r="L63" s="190"/>
      <c r="M63" s="190"/>
      <c r="N63" s="190"/>
      <c r="O63" s="190"/>
    </row>
    <row r="64" spans="4:15" x14ac:dyDescent="0.2">
      <c r="D64" s="190"/>
      <c r="E64" s="190"/>
      <c r="F64" s="190"/>
      <c r="G64" s="190"/>
      <c r="H64" s="190"/>
      <c r="I64" s="190"/>
      <c r="J64" s="190"/>
      <c r="K64" s="190"/>
      <c r="L64" s="190"/>
      <c r="M64" s="190"/>
      <c r="N64" s="190"/>
      <c r="O64" s="190"/>
    </row>
    <row r="65" spans="4:15" x14ac:dyDescent="0.2">
      <c r="D65" s="190"/>
      <c r="E65" s="190"/>
      <c r="F65" s="190"/>
      <c r="G65" s="190"/>
      <c r="H65" s="190"/>
      <c r="I65" s="190"/>
      <c r="J65" s="190"/>
      <c r="K65" s="190"/>
      <c r="L65" s="190"/>
      <c r="M65" s="190"/>
      <c r="N65" s="190"/>
      <c r="O65" s="190"/>
    </row>
    <row r="66" spans="4:15" x14ac:dyDescent="0.2">
      <c r="D66" s="190"/>
      <c r="E66" s="190"/>
      <c r="F66" s="190"/>
      <c r="G66" s="190"/>
      <c r="H66" s="190"/>
      <c r="I66" s="190"/>
      <c r="J66" s="190"/>
      <c r="K66" s="190"/>
      <c r="L66" s="190"/>
      <c r="M66" s="190"/>
      <c r="N66" s="190"/>
      <c r="O66" s="190"/>
    </row>
    <row r="67" spans="4:15" x14ac:dyDescent="0.2"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</row>
    <row r="68" spans="4:15" x14ac:dyDescent="0.2"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</row>
    <row r="69" spans="4:15" x14ac:dyDescent="0.2">
      <c r="D69" s="190"/>
      <c r="E69" s="190"/>
      <c r="F69" s="190"/>
      <c r="G69" s="190"/>
      <c r="H69" s="190"/>
      <c r="I69" s="190"/>
      <c r="J69" s="190"/>
      <c r="K69" s="190"/>
      <c r="L69" s="190"/>
      <c r="M69" s="190"/>
      <c r="N69" s="190"/>
      <c r="O69" s="190"/>
    </row>
    <row r="70" spans="4:15" x14ac:dyDescent="0.2"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</row>
    <row r="71" spans="4:15" x14ac:dyDescent="0.2"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</row>
    <row r="72" spans="4:15" x14ac:dyDescent="0.2">
      <c r="D72" s="190"/>
      <c r="E72" s="190"/>
      <c r="F72" s="190"/>
      <c r="G72" s="190"/>
      <c r="H72" s="190"/>
      <c r="I72" s="190"/>
      <c r="J72" s="190"/>
      <c r="K72" s="190"/>
      <c r="L72" s="190"/>
      <c r="M72" s="190"/>
      <c r="N72" s="190"/>
      <c r="O72" s="190"/>
    </row>
    <row r="73" spans="4:15" x14ac:dyDescent="0.2">
      <c r="D73" s="190"/>
      <c r="E73" s="190"/>
      <c r="F73" s="190"/>
      <c r="G73" s="190"/>
      <c r="H73" s="190"/>
      <c r="I73" s="190"/>
      <c r="J73" s="190"/>
      <c r="K73" s="190"/>
      <c r="L73" s="190"/>
      <c r="M73" s="190"/>
      <c r="N73" s="190"/>
      <c r="O73" s="190"/>
    </row>
    <row r="74" spans="4:15" x14ac:dyDescent="0.2">
      <c r="D74" s="190"/>
      <c r="E74" s="190"/>
      <c r="F74" s="190"/>
      <c r="G74" s="190"/>
      <c r="H74" s="190"/>
      <c r="I74" s="190"/>
      <c r="J74" s="190"/>
      <c r="K74" s="190"/>
      <c r="L74" s="190"/>
      <c r="M74" s="190"/>
      <c r="N74" s="190"/>
      <c r="O74" s="190"/>
    </row>
    <row r="75" spans="4:15" x14ac:dyDescent="0.2">
      <c r="D75" s="190"/>
      <c r="E75" s="190"/>
      <c r="F75" s="190"/>
      <c r="G75" s="190"/>
      <c r="H75" s="190"/>
      <c r="I75" s="190"/>
      <c r="J75" s="190"/>
      <c r="K75" s="190"/>
      <c r="L75" s="190"/>
      <c r="M75" s="190"/>
      <c r="N75" s="190"/>
      <c r="O75" s="190"/>
    </row>
    <row r="76" spans="4:15" x14ac:dyDescent="0.2">
      <c r="D76" s="190"/>
      <c r="E76" s="190"/>
      <c r="F76" s="190"/>
      <c r="G76" s="190"/>
      <c r="H76" s="190"/>
      <c r="I76" s="190"/>
      <c r="J76" s="190"/>
      <c r="K76" s="190"/>
      <c r="L76" s="190"/>
      <c r="M76" s="190"/>
      <c r="N76" s="190"/>
      <c r="O76" s="190"/>
    </row>
    <row r="77" spans="4:15" x14ac:dyDescent="0.2">
      <c r="D77" s="190"/>
      <c r="E77" s="190"/>
      <c r="F77" s="190"/>
      <c r="G77" s="190"/>
      <c r="H77" s="190"/>
      <c r="I77" s="190"/>
      <c r="J77" s="190"/>
      <c r="K77" s="190"/>
      <c r="L77" s="190"/>
      <c r="M77" s="190"/>
      <c r="N77" s="190"/>
      <c r="O77" s="190"/>
    </row>
    <row r="78" spans="4:15" x14ac:dyDescent="0.2">
      <c r="D78" s="190"/>
      <c r="E78" s="190"/>
      <c r="F78" s="190"/>
      <c r="G78" s="190"/>
      <c r="H78" s="190"/>
      <c r="I78" s="190"/>
      <c r="J78" s="190"/>
      <c r="K78" s="190"/>
      <c r="L78" s="190"/>
      <c r="M78" s="190"/>
      <c r="N78" s="190"/>
      <c r="O78" s="190"/>
    </row>
    <row r="79" spans="4:15" x14ac:dyDescent="0.2"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</row>
    <row r="80" spans="4:15" x14ac:dyDescent="0.2">
      <c r="D80" s="190"/>
      <c r="E80" s="190"/>
      <c r="F80" s="190"/>
      <c r="G80" s="190"/>
      <c r="H80" s="190"/>
      <c r="I80" s="190"/>
      <c r="J80" s="190"/>
      <c r="K80" s="190"/>
      <c r="L80" s="190"/>
      <c r="M80" s="190"/>
      <c r="N80" s="190"/>
      <c r="O80" s="190"/>
    </row>
    <row r="81" spans="4:15" x14ac:dyDescent="0.2"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</row>
    <row r="82" spans="4:15" x14ac:dyDescent="0.2"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</row>
    <row r="83" spans="4:15" x14ac:dyDescent="0.2">
      <c r="D83" s="190"/>
      <c r="E83" s="190"/>
      <c r="F83" s="190"/>
      <c r="G83" s="190"/>
      <c r="H83" s="190"/>
      <c r="I83" s="190"/>
      <c r="J83" s="190"/>
      <c r="K83" s="190"/>
      <c r="L83" s="190"/>
      <c r="M83" s="190"/>
      <c r="N83" s="190"/>
      <c r="O83" s="190"/>
    </row>
    <row r="84" spans="4:15" x14ac:dyDescent="0.2">
      <c r="D84" s="190"/>
      <c r="E84" s="190"/>
      <c r="F84" s="190"/>
      <c r="G84" s="190"/>
      <c r="H84" s="190"/>
      <c r="I84" s="190"/>
      <c r="J84" s="190"/>
      <c r="K84" s="190"/>
      <c r="L84" s="190"/>
      <c r="M84" s="190"/>
      <c r="N84" s="190"/>
      <c r="O84" s="190"/>
    </row>
    <row r="85" spans="4:15" x14ac:dyDescent="0.2">
      <c r="D85" s="190"/>
      <c r="E85" s="190"/>
      <c r="F85" s="190"/>
      <c r="G85" s="190"/>
      <c r="H85" s="190"/>
      <c r="I85" s="190"/>
      <c r="J85" s="190"/>
      <c r="K85" s="190"/>
      <c r="L85" s="190"/>
      <c r="M85" s="190"/>
      <c r="N85" s="190"/>
      <c r="O85" s="190"/>
    </row>
    <row r="86" spans="4:15" x14ac:dyDescent="0.2">
      <c r="D86" s="190"/>
      <c r="E86" s="190"/>
      <c r="F86" s="190"/>
      <c r="G86" s="190"/>
      <c r="H86" s="190"/>
      <c r="I86" s="190"/>
      <c r="J86" s="190"/>
      <c r="K86" s="190"/>
      <c r="L86" s="190"/>
      <c r="M86" s="190"/>
      <c r="N86" s="190"/>
      <c r="O86" s="190"/>
    </row>
    <row r="87" spans="4:15" x14ac:dyDescent="0.2"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</row>
    <row r="88" spans="4:15" x14ac:dyDescent="0.2">
      <c r="D88" s="190"/>
      <c r="E88" s="190"/>
      <c r="F88" s="190"/>
      <c r="G88" s="190"/>
      <c r="H88" s="190"/>
      <c r="I88" s="190"/>
      <c r="J88" s="190"/>
      <c r="K88" s="190"/>
      <c r="L88" s="190"/>
      <c r="M88" s="190"/>
      <c r="N88" s="190"/>
      <c r="O88" s="190"/>
    </row>
    <row r="89" spans="4:15" x14ac:dyDescent="0.2"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</row>
    <row r="90" spans="4:15" x14ac:dyDescent="0.2"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</row>
    <row r="91" spans="4:15" x14ac:dyDescent="0.2">
      <c r="D91" s="190"/>
      <c r="E91" s="190"/>
      <c r="F91" s="190"/>
      <c r="G91" s="190"/>
      <c r="H91" s="190"/>
      <c r="I91" s="190"/>
      <c r="J91" s="190"/>
      <c r="K91" s="190"/>
      <c r="L91" s="190"/>
      <c r="M91" s="190"/>
      <c r="N91" s="190"/>
      <c r="O91" s="190"/>
    </row>
    <row r="92" spans="4:15" x14ac:dyDescent="0.2">
      <c r="D92" s="190"/>
      <c r="E92" s="190"/>
      <c r="F92" s="190"/>
      <c r="G92" s="190"/>
      <c r="H92" s="190"/>
      <c r="I92" s="190"/>
      <c r="J92" s="190"/>
      <c r="K92" s="190"/>
      <c r="L92" s="190"/>
      <c r="M92" s="190"/>
      <c r="N92" s="190"/>
      <c r="O92" s="190"/>
    </row>
    <row r="93" spans="4:15" x14ac:dyDescent="0.2">
      <c r="D93" s="190"/>
      <c r="E93" s="190"/>
      <c r="F93" s="190"/>
      <c r="G93" s="190"/>
      <c r="H93" s="190"/>
      <c r="I93" s="190"/>
      <c r="J93" s="190"/>
      <c r="K93" s="190"/>
      <c r="L93" s="190"/>
      <c r="M93" s="190"/>
      <c r="N93" s="190"/>
      <c r="O93" s="190"/>
    </row>
    <row r="94" spans="4:15" x14ac:dyDescent="0.2"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0"/>
    </row>
    <row r="95" spans="4:15" x14ac:dyDescent="0.2"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</row>
    <row r="96" spans="4:15" x14ac:dyDescent="0.2">
      <c r="D96" s="190"/>
      <c r="E96" s="190"/>
      <c r="F96" s="190"/>
      <c r="G96" s="190"/>
      <c r="H96" s="190"/>
      <c r="I96" s="190"/>
      <c r="J96" s="190"/>
      <c r="K96" s="190"/>
      <c r="L96" s="190"/>
      <c r="M96" s="190"/>
      <c r="N96" s="190"/>
      <c r="O96" s="190"/>
    </row>
    <row r="97" spans="4:15" x14ac:dyDescent="0.2">
      <c r="D97" s="190"/>
      <c r="E97" s="190"/>
      <c r="F97" s="190"/>
      <c r="G97" s="190"/>
      <c r="H97" s="190"/>
      <c r="I97" s="190"/>
      <c r="J97" s="190"/>
      <c r="K97" s="190"/>
      <c r="L97" s="190"/>
      <c r="M97" s="190"/>
      <c r="N97" s="190"/>
      <c r="O97" s="190"/>
    </row>
    <row r="98" spans="4:15" x14ac:dyDescent="0.2">
      <c r="D98" s="190"/>
      <c r="E98" s="190"/>
      <c r="F98" s="190"/>
      <c r="G98" s="190"/>
      <c r="H98" s="190"/>
      <c r="I98" s="190"/>
      <c r="J98" s="190"/>
      <c r="K98" s="190"/>
      <c r="L98" s="190"/>
      <c r="M98" s="190"/>
      <c r="N98" s="190"/>
      <c r="O98" s="190"/>
    </row>
    <row r="99" spans="4:15" x14ac:dyDescent="0.2">
      <c r="D99" s="190"/>
      <c r="E99" s="190"/>
      <c r="F99" s="190"/>
      <c r="G99" s="190"/>
      <c r="H99" s="190"/>
      <c r="I99" s="190"/>
      <c r="J99" s="190"/>
      <c r="K99" s="190"/>
      <c r="L99" s="190"/>
      <c r="M99" s="190"/>
      <c r="N99" s="190"/>
      <c r="O99" s="190"/>
    </row>
    <row r="100" spans="4:15" x14ac:dyDescent="0.2">
      <c r="D100" s="190"/>
      <c r="E100" s="190"/>
      <c r="F100" s="190"/>
      <c r="G100" s="190"/>
      <c r="H100" s="190"/>
      <c r="I100" s="190"/>
      <c r="J100" s="190"/>
      <c r="K100" s="190"/>
      <c r="L100" s="190"/>
      <c r="M100" s="190"/>
      <c r="N100" s="190"/>
      <c r="O100" s="190"/>
    </row>
    <row r="101" spans="4:15" x14ac:dyDescent="0.2">
      <c r="D101" s="190"/>
      <c r="E101" s="190"/>
      <c r="F101" s="190"/>
      <c r="G101" s="190"/>
      <c r="H101" s="190"/>
      <c r="I101" s="190"/>
      <c r="J101" s="190"/>
      <c r="K101" s="190"/>
      <c r="L101" s="190"/>
      <c r="M101" s="190"/>
      <c r="N101" s="190"/>
      <c r="O101" s="190"/>
    </row>
    <row r="102" spans="4:15" x14ac:dyDescent="0.2">
      <c r="D102" s="190"/>
      <c r="E102" s="190"/>
      <c r="F102" s="190"/>
      <c r="G102" s="190"/>
      <c r="H102" s="190"/>
      <c r="I102" s="190"/>
      <c r="J102" s="190"/>
      <c r="K102" s="190"/>
      <c r="L102" s="190"/>
      <c r="M102" s="190"/>
      <c r="N102" s="190"/>
      <c r="O102" s="190"/>
    </row>
    <row r="103" spans="4:15" x14ac:dyDescent="0.2">
      <c r="D103" s="190"/>
      <c r="E103" s="190"/>
      <c r="F103" s="190"/>
      <c r="G103" s="190"/>
      <c r="H103" s="190"/>
      <c r="I103" s="190"/>
      <c r="J103" s="190"/>
      <c r="K103" s="190"/>
      <c r="L103" s="190"/>
      <c r="M103" s="190"/>
      <c r="N103" s="190"/>
      <c r="O103" s="190"/>
    </row>
    <row r="104" spans="4:15" x14ac:dyDescent="0.2">
      <c r="D104" s="190"/>
      <c r="E104" s="190"/>
      <c r="F104" s="190"/>
      <c r="G104" s="190"/>
      <c r="H104" s="190"/>
      <c r="I104" s="190"/>
      <c r="J104" s="190"/>
      <c r="K104" s="190"/>
      <c r="L104" s="190"/>
      <c r="M104" s="190"/>
      <c r="N104" s="190"/>
      <c r="O104" s="190"/>
    </row>
    <row r="105" spans="4:15" x14ac:dyDescent="0.2">
      <c r="D105" s="190"/>
      <c r="E105" s="190"/>
      <c r="F105" s="190"/>
      <c r="G105" s="190"/>
      <c r="H105" s="190"/>
      <c r="I105" s="190"/>
      <c r="J105" s="190"/>
      <c r="K105" s="190"/>
      <c r="L105" s="190"/>
      <c r="M105" s="190"/>
      <c r="N105" s="190"/>
      <c r="O105" s="190"/>
    </row>
    <row r="106" spans="4:15" x14ac:dyDescent="0.2">
      <c r="D106" s="190"/>
      <c r="E106" s="190"/>
      <c r="F106" s="190"/>
      <c r="G106" s="190"/>
      <c r="H106" s="190"/>
      <c r="I106" s="190"/>
      <c r="J106" s="190"/>
      <c r="K106" s="190"/>
      <c r="L106" s="190"/>
      <c r="M106" s="190"/>
      <c r="N106" s="190"/>
      <c r="O106" s="190"/>
    </row>
    <row r="107" spans="4:15" x14ac:dyDescent="0.2">
      <c r="D107" s="190"/>
      <c r="E107" s="190"/>
      <c r="F107" s="190"/>
      <c r="G107" s="190"/>
      <c r="H107" s="190"/>
      <c r="I107" s="190"/>
      <c r="J107" s="190"/>
      <c r="K107" s="190"/>
      <c r="L107" s="190"/>
      <c r="M107" s="190"/>
      <c r="N107" s="190"/>
      <c r="O107" s="190"/>
    </row>
  </sheetData>
  <phoneticPr fontId="1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Line="0" autoPict="0" macro="[0]!showMach">
                <anchor moveWithCells="1" sizeWithCells="1">
                  <from>
                    <xdr:col>0</xdr:col>
                    <xdr:colOff>114300</xdr:colOff>
                    <xdr:row>3</xdr:row>
                    <xdr:rowOff>9525</xdr:rowOff>
                  </from>
                  <to>
                    <xdr:col>0</xdr:col>
                    <xdr:colOff>828675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tabSelected="1" workbookViewId="0">
      <selection activeCell="C27" sqref="C27"/>
    </sheetView>
  </sheetViews>
  <sheetFormatPr defaultColWidth="8.85546875" defaultRowHeight="12.75" x14ac:dyDescent="0.2"/>
  <sheetData/>
  <phoneticPr fontId="10" type="noConversion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E20"/>
  <sheetViews>
    <sheetView workbookViewId="0"/>
  </sheetViews>
  <sheetFormatPr defaultColWidth="8.85546875" defaultRowHeight="12.75" x14ac:dyDescent="0.2"/>
  <cols>
    <col min="1" max="1" width="16.42578125" customWidth="1"/>
  </cols>
  <sheetData>
    <row r="1" spans="1:5" ht="15.75" x14ac:dyDescent="0.25">
      <c r="A1" t="s">
        <v>133</v>
      </c>
      <c r="B1" s="176" t="s">
        <v>148</v>
      </c>
      <c r="C1" s="176" t="s">
        <v>149</v>
      </c>
      <c r="D1" s="176" t="s">
        <v>153</v>
      </c>
      <c r="E1" s="176" t="s">
        <v>150</v>
      </c>
    </row>
    <row r="2" spans="1:5" x14ac:dyDescent="0.2">
      <c r="A2" s="205" t="s">
        <v>134</v>
      </c>
      <c r="B2">
        <v>3</v>
      </c>
      <c r="C2">
        <v>4</v>
      </c>
      <c r="D2">
        <v>4</v>
      </c>
      <c r="E2">
        <v>4</v>
      </c>
    </row>
    <row r="3" spans="1:5" x14ac:dyDescent="0.2">
      <c r="A3" s="205" t="s">
        <v>135</v>
      </c>
      <c r="B3" s="207">
        <v>9.9999999999999997E+98</v>
      </c>
      <c r="C3" s="207">
        <v>5203.8568183533644</v>
      </c>
      <c r="D3" s="207">
        <v>5204.4445224579367</v>
      </c>
      <c r="E3" s="207">
        <v>5208.6514036274584</v>
      </c>
    </row>
    <row r="4" spans="1:5" x14ac:dyDescent="0.2">
      <c r="A4" s="205" t="s">
        <v>136</v>
      </c>
      <c r="B4">
        <v>21.409226327733499</v>
      </c>
      <c r="C4">
        <v>12.199151928948501</v>
      </c>
      <c r="D4">
        <v>12.199151928948501</v>
      </c>
      <c r="E4">
        <v>12.199151928948501</v>
      </c>
    </row>
    <row r="5" spans="1:5" x14ac:dyDescent="0.2">
      <c r="A5" s="205" t="s">
        <v>137</v>
      </c>
      <c r="B5" s="207">
        <v>9.9999999999999997E+98</v>
      </c>
      <c r="C5" s="207">
        <v>9.9999999999999997E+98</v>
      </c>
      <c r="D5" s="207">
        <v>9.9999999999999997E+98</v>
      </c>
      <c r="E5" s="207">
        <v>1391.6108473037175</v>
      </c>
    </row>
    <row r="6" spans="1:5" x14ac:dyDescent="0.2">
      <c r="A6" s="205" t="s">
        <v>138</v>
      </c>
      <c r="B6">
        <v>-3747.3818489583682</v>
      </c>
      <c r="C6" s="207">
        <v>9.9999999999999997E+98</v>
      </c>
      <c r="D6" s="207">
        <v>9.9999999999999997E+98</v>
      </c>
      <c r="E6" s="207">
        <v>-3800.6507629856524</v>
      </c>
    </row>
    <row r="7" spans="1:5" x14ac:dyDescent="0.2">
      <c r="A7" s="206"/>
    </row>
    <row r="10" spans="1:5" ht="14.25" x14ac:dyDescent="0.2">
      <c r="B10" s="160">
        <v>5</v>
      </c>
      <c r="C10" t="s">
        <v>139</v>
      </c>
    </row>
    <row r="11" spans="1:5" x14ac:dyDescent="0.2">
      <c r="B11" s="161"/>
    </row>
    <row r="12" spans="1:5" ht="14.25" x14ac:dyDescent="0.2">
      <c r="B12" s="162">
        <v>5</v>
      </c>
      <c r="C12" t="s">
        <v>140</v>
      </c>
    </row>
    <row r="15" spans="1:5" x14ac:dyDescent="0.2">
      <c r="B15" s="203" t="s">
        <v>141</v>
      </c>
      <c r="D15" t="s">
        <v>142</v>
      </c>
    </row>
    <row r="16" spans="1:5" x14ac:dyDescent="0.2">
      <c r="B16" s="203" t="s">
        <v>143</v>
      </c>
    </row>
    <row r="17" spans="2:2" x14ac:dyDescent="0.2">
      <c r="B17" s="203" t="s">
        <v>144</v>
      </c>
    </row>
    <row r="18" spans="2:2" x14ac:dyDescent="0.2">
      <c r="B18" s="203" t="s">
        <v>145</v>
      </c>
    </row>
    <row r="19" spans="2:2" x14ac:dyDescent="0.2">
      <c r="B19" s="203" t="s">
        <v>146</v>
      </c>
    </row>
    <row r="20" spans="2:2" x14ac:dyDescent="0.2">
      <c r="B20" s="204" t="s">
        <v>147</v>
      </c>
    </row>
  </sheetData>
  <phoneticPr fontId="10" type="noConversion"/>
  <pageMargins left="0.75" right="0.75" top="1" bottom="1" header="0.5" footer="0.5"/>
  <pageSetup orientation="portrait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Instructions</vt:lpstr>
      <vt:lpstr>Design</vt:lpstr>
      <vt:lpstr>Run</vt:lpstr>
      <vt:lpstr>Latest</vt:lpstr>
      <vt:lpstr>Cumulative</vt:lpstr>
      <vt:lpstr>Inventory</vt:lpstr>
      <vt:lpstr>Machines</vt:lpstr>
      <vt:lpstr>Graphs</vt:lpstr>
      <vt:lpstr>Controls</vt:lpstr>
      <vt:lpstr>Blocked</vt:lpstr>
      <vt:lpstr>Buff1</vt:lpstr>
      <vt:lpstr>BuffData</vt:lpstr>
      <vt:lpstr>BuffData2</vt:lpstr>
      <vt:lpstr>BuffNames</vt:lpstr>
      <vt:lpstr>BuffNames2</vt:lpstr>
      <vt:lpstr>BuffStats</vt:lpstr>
      <vt:lpstr>ContRun</vt:lpstr>
      <vt:lpstr>currentTime</vt:lpstr>
      <vt:lpstr>distChoice</vt:lpstr>
      <vt:lpstr>DistChoiceTable</vt:lpstr>
      <vt:lpstr>DoneRun</vt:lpstr>
      <vt:lpstr>DownTime</vt:lpstr>
      <vt:lpstr>FailureData</vt:lpstr>
      <vt:lpstr>failureOutput</vt:lpstr>
      <vt:lpstr>formSum</vt:lpstr>
      <vt:lpstr>InvCap</vt:lpstr>
      <vt:lpstr>InvNames2</vt:lpstr>
      <vt:lpstr>Mach1</vt:lpstr>
      <vt:lpstr>machData</vt:lpstr>
      <vt:lpstr>MachData2</vt:lpstr>
      <vt:lpstr>MachDone</vt:lpstr>
      <vt:lpstr>MachDoneTemp</vt:lpstr>
      <vt:lpstr>MachFail</vt:lpstr>
      <vt:lpstr>MachFailTemp</vt:lpstr>
      <vt:lpstr>Machines</vt:lpstr>
      <vt:lpstr>MachNames</vt:lpstr>
      <vt:lpstr>MachNames2</vt:lpstr>
      <vt:lpstr>MachState</vt:lpstr>
      <vt:lpstr>MachStats</vt:lpstr>
      <vt:lpstr>MaxInv</vt:lpstr>
      <vt:lpstr>MeanFT</vt:lpstr>
      <vt:lpstr>meanPT</vt:lpstr>
      <vt:lpstr>meanRT</vt:lpstr>
      <vt:lpstr>MinInv</vt:lpstr>
      <vt:lpstr>Mtotal</vt:lpstr>
      <vt:lpstr>nRuns</vt:lpstr>
      <vt:lpstr>Instructions!Print_Area</vt:lpstr>
      <vt:lpstr>Repetitions</vt:lpstr>
      <vt:lpstr>RunIn</vt:lpstr>
      <vt:lpstr>RunLength</vt:lpstr>
      <vt:lpstr>sdFT</vt:lpstr>
      <vt:lpstr>SDPT</vt:lpstr>
      <vt:lpstr>SDRT</vt:lpstr>
      <vt:lpstr>speed</vt:lpstr>
      <vt:lpstr>Starved</vt:lpstr>
      <vt:lpstr>times</vt:lpstr>
      <vt:lpstr>underRepair</vt:lpstr>
    </vt:vector>
  </TitlesOfParts>
  <Company>JGSM - Cornell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Lawrence W. Robinson;Nnikandish@jhu.edu</dc:creator>
  <cp:lastModifiedBy>Naser Nikandish</cp:lastModifiedBy>
  <cp:lastPrinted>2003-02-25T13:13:48Z</cp:lastPrinted>
  <dcterms:created xsi:type="dcterms:W3CDTF">1996-06-10T22:38:40Z</dcterms:created>
  <dcterms:modified xsi:type="dcterms:W3CDTF">2020-03-21T01:14:44Z</dcterms:modified>
</cp:coreProperties>
</file>